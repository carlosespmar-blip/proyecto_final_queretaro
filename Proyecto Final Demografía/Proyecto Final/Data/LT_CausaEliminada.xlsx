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los\Downloads\"/>
    </mc:Choice>
  </mc:AlternateContent>
  <xr:revisionPtr revIDLastSave="0" documentId="13_ncr:1_{5E18B2A4-18F9-4104-95C1-904DB1B2786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Introduction" sheetId="2" state="hidden" r:id="rId1"/>
    <sheet name="Coefficients" sheetId="1" state="hidden" r:id="rId2"/>
    <sheet name="Model LTs" sheetId="4" state="hidden" r:id="rId3"/>
    <sheet name="Decrementos Múltiples" sheetId="10" r:id="rId4"/>
    <sheet name="LT" sheetId="11" r:id="rId5"/>
    <sheet name="Homicidios" sheetId="12" r:id="rId6"/>
    <sheet name="Defunciones generales" sheetId="13" r:id="rId7"/>
  </sheets>
  <externalReferences>
    <externalReference r:id="rId8"/>
  </externalReferences>
  <definedNames>
    <definedName name="Coeffs_111">Coefficients!$C$6</definedName>
    <definedName name="Coeffs_112">Coefficients!$N$6</definedName>
    <definedName name="Coeffs_113">Coefficients!$Y$6</definedName>
    <definedName name="Coeffs_121">Coefficients!$C$17</definedName>
    <definedName name="Coeffs_122">Coefficients!$N$17</definedName>
    <definedName name="Coeffs_123">Coefficients!$Y$17</definedName>
    <definedName name="Coeffs_131">Coefficients!$C$28</definedName>
    <definedName name="Coeffs_132">Coefficients!$N$28</definedName>
    <definedName name="Coeffs_133">Coefficients!$Y$28</definedName>
    <definedName name="Coeffs_141">Coefficients!$C$39</definedName>
    <definedName name="Coeffs_142">Coefficients!$N$39</definedName>
    <definedName name="Coeffs_143">Coefficients!$Y$39</definedName>
    <definedName name="Coeffs_211">Coefficients!$C$50</definedName>
    <definedName name="Coeffs_221">Coefficients!$C$61</definedName>
    <definedName name="Coeffs_231">Coefficients!$C$72</definedName>
    <definedName name="Coeffs_241">Coefficients!$C$83</definedName>
    <definedName name="Coeffs_251">Coefficients!$C$94</definedName>
    <definedName name="Family">Coefficients!$AI$9:$AI$10</definedName>
    <definedName name="FamSelect">Coefficients!$AJ$8</definedName>
    <definedName name="Princeton">Coefficients!$AI$13:$AI$16</definedName>
    <definedName name="Sex">Coefficients!$AI$29:$AI$31</definedName>
    <definedName name="TypeSelect">Coefficients!$AJ$23</definedName>
    <definedName name="UN">Coefficients!$AI$17:$AI$21</definedName>
    <definedName name="Variant">Coefficients!$AI$24:$AI$26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10" l="1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J41" i="10"/>
  <c r="K41" i="10"/>
  <c r="J42" i="10"/>
  <c r="K42" i="10"/>
  <c r="J43" i="10"/>
  <c r="K43" i="10"/>
  <c r="J44" i="10"/>
  <c r="K44" i="10"/>
  <c r="J45" i="10"/>
  <c r="K45" i="10"/>
  <c r="K27" i="10"/>
  <c r="J27" i="10"/>
  <c r="H28" i="10"/>
  <c r="H29" i="10"/>
  <c r="H30" i="10"/>
  <c r="H31" i="10"/>
  <c r="H32" i="10"/>
  <c r="H33" i="10"/>
  <c r="I33" i="10" s="1"/>
  <c r="H34" i="10"/>
  <c r="I34" i="10" s="1"/>
  <c r="H35" i="10"/>
  <c r="I35" i="10" s="1"/>
  <c r="H36" i="10"/>
  <c r="H37" i="10"/>
  <c r="I37" i="10" s="1"/>
  <c r="H38" i="10"/>
  <c r="H39" i="10"/>
  <c r="H40" i="10"/>
  <c r="H41" i="10"/>
  <c r="H42" i="10"/>
  <c r="I42" i="10" s="1"/>
  <c r="H43" i="10"/>
  <c r="I43" i="10" s="1"/>
  <c r="H44" i="10"/>
  <c r="I44" i="10" s="1"/>
  <c r="H45" i="10"/>
  <c r="I45" i="10" s="1"/>
  <c r="H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27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4" i="10"/>
  <c r="H5" i="10"/>
  <c r="H6" i="10"/>
  <c r="H7" i="10"/>
  <c r="H8" i="10"/>
  <c r="I8" i="10" s="1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H16" i="10"/>
  <c r="I16" i="10" s="1"/>
  <c r="H17" i="10"/>
  <c r="H18" i="10"/>
  <c r="H19" i="10"/>
  <c r="I19" i="10" s="1"/>
  <c r="H20" i="10"/>
  <c r="I20" i="10" s="1"/>
  <c r="H21" i="10"/>
  <c r="I21" i="10" s="1"/>
  <c r="H22" i="10"/>
  <c r="H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4" i="10"/>
  <c r="AA28" i="10"/>
  <c r="V9" i="10"/>
  <c r="I22" i="10"/>
  <c r="AB28" i="10"/>
  <c r="I29" i="10"/>
  <c r="I30" i="10"/>
  <c r="I32" i="10"/>
  <c r="V32" i="10"/>
  <c r="I38" i="10"/>
  <c r="I39" i="10"/>
  <c r="I40" i="10"/>
  <c r="AH5" i="1"/>
  <c r="AJ6" i="1"/>
  <c r="I5" i="10" l="1"/>
  <c r="I4" i="10"/>
  <c r="F28" i="10"/>
  <c r="L28" i="10" s="1"/>
  <c r="M28" i="10" s="1"/>
  <c r="F41" i="10"/>
  <c r="L41" i="10" s="1"/>
  <c r="M41" i="10" s="1"/>
  <c r="F42" i="10"/>
  <c r="L42" i="10" s="1"/>
  <c r="M42" i="10" s="1"/>
  <c r="F27" i="10"/>
  <c r="L27" i="10" s="1"/>
  <c r="F34" i="10"/>
  <c r="L34" i="10" s="1"/>
  <c r="M34" i="10" s="1"/>
  <c r="F16" i="10"/>
  <c r="L16" i="10" s="1"/>
  <c r="M16" i="10" s="1"/>
  <c r="F35" i="10"/>
  <c r="L35" i="10" s="1"/>
  <c r="M35" i="10" s="1"/>
  <c r="F12" i="10"/>
  <c r="L12" i="10" s="1"/>
  <c r="M12" i="10" s="1"/>
  <c r="F31" i="10"/>
  <c r="L31" i="10" s="1"/>
  <c r="M31" i="10" s="1"/>
  <c r="F21" i="10"/>
  <c r="L21" i="10" s="1"/>
  <c r="M21" i="10" s="1"/>
  <c r="P21" i="10" s="1"/>
  <c r="F11" i="10"/>
  <c r="L11" i="10" s="1"/>
  <c r="M11" i="10" s="1"/>
  <c r="F17" i="10"/>
  <c r="L17" i="10" s="1"/>
  <c r="M17" i="10" s="1"/>
  <c r="F45" i="10"/>
  <c r="P45" i="10" s="1"/>
  <c r="F14" i="10"/>
  <c r="L14" i="10" s="1"/>
  <c r="M14" i="10" s="1"/>
  <c r="F4" i="10"/>
  <c r="L4" i="10" s="1"/>
  <c r="F19" i="10"/>
  <c r="L19" i="10" s="1"/>
  <c r="M19" i="10" s="1"/>
  <c r="F5" i="10"/>
  <c r="F43" i="10"/>
  <c r="L43" i="10" s="1"/>
  <c r="M43" i="10" s="1"/>
  <c r="F15" i="10"/>
  <c r="L15" i="10" s="1"/>
  <c r="M15" i="10" s="1"/>
  <c r="F6" i="10"/>
  <c r="L6" i="10" s="1"/>
  <c r="M6" i="10" s="1"/>
  <c r="F37" i="10"/>
  <c r="L37" i="10" s="1"/>
  <c r="M37" i="10" s="1"/>
  <c r="F44" i="10"/>
  <c r="L44" i="10" s="1"/>
  <c r="M44" i="10" s="1"/>
  <c r="P44" i="10" s="1"/>
  <c r="F30" i="10"/>
  <c r="L30" i="10" s="1"/>
  <c r="M30" i="10" s="1"/>
  <c r="F39" i="10"/>
  <c r="L39" i="10" s="1"/>
  <c r="M39" i="10" s="1"/>
  <c r="F32" i="10"/>
  <c r="L32" i="10" s="1"/>
  <c r="M32" i="10" s="1"/>
  <c r="F40" i="10"/>
  <c r="L40" i="10" s="1"/>
  <c r="M40" i="10" s="1"/>
  <c r="F10" i="10"/>
  <c r="L10" i="10" s="1"/>
  <c r="M10" i="10" s="1"/>
  <c r="F9" i="10"/>
  <c r="L9" i="10" s="1"/>
  <c r="M9" i="10" s="1"/>
  <c r="F33" i="10"/>
  <c r="L33" i="10" s="1"/>
  <c r="M33" i="10" s="1"/>
  <c r="F36" i="10"/>
  <c r="L36" i="10" s="1"/>
  <c r="M36" i="10" s="1"/>
  <c r="F29" i="10"/>
  <c r="L29" i="10" s="1"/>
  <c r="M29" i="10" s="1"/>
  <c r="P29" i="10" s="1"/>
  <c r="F22" i="10"/>
  <c r="L22" i="10" s="1"/>
  <c r="M22" i="10" s="1"/>
  <c r="I41" i="10"/>
  <c r="F20" i="10"/>
  <c r="L20" i="10" s="1"/>
  <c r="M20" i="10" s="1"/>
  <c r="F38" i="10"/>
  <c r="L38" i="10" s="1"/>
  <c r="M38" i="10" s="1"/>
  <c r="I28" i="10"/>
  <c r="F18" i="10"/>
  <c r="L18" i="10" s="1"/>
  <c r="M18" i="10" s="1"/>
  <c r="I17" i="10"/>
  <c r="I36" i="10"/>
  <c r="F13" i="10"/>
  <c r="L13" i="10" s="1"/>
  <c r="M13" i="10" s="1"/>
  <c r="I15" i="10"/>
  <c r="I27" i="10"/>
  <c r="I7" i="10"/>
  <c r="I31" i="10"/>
  <c r="F7" i="10"/>
  <c r="L7" i="10" s="1"/>
  <c r="M7" i="10" s="1"/>
  <c r="I18" i="10"/>
  <c r="F8" i="10"/>
  <c r="L8" i="10" s="1"/>
  <c r="M8" i="10" s="1"/>
  <c r="I6" i="10"/>
  <c r="AJ28" i="1"/>
  <c r="P28" i="10" l="1"/>
  <c r="L5" i="10"/>
  <c r="M5" i="10" s="1"/>
  <c r="P5" i="10" s="1"/>
  <c r="P22" i="10"/>
  <c r="L45" i="10"/>
  <c r="M45" i="10" s="1"/>
  <c r="P6" i="10"/>
  <c r="M27" i="10"/>
  <c r="P27" i="10" s="1"/>
  <c r="N28" i="10"/>
  <c r="N5" i="10"/>
  <c r="M4" i="10"/>
  <c r="AJ8" i="1"/>
  <c r="AJ23" i="1"/>
  <c r="O4" i="10" l="1"/>
  <c r="P4" i="10"/>
  <c r="Q4" i="10" s="1"/>
  <c r="O5" i="10"/>
  <c r="N6" i="10"/>
  <c r="O28" i="10"/>
  <c r="N29" i="10"/>
  <c r="O27" i="10"/>
  <c r="Q27" i="10"/>
  <c r="AJ12" i="1"/>
  <c r="Q5" i="10" l="1"/>
  <c r="O6" i="10"/>
  <c r="N7" i="10"/>
  <c r="Q28" i="10"/>
  <c r="N30" i="10"/>
  <c r="O29" i="10"/>
  <c r="AN25" i="1"/>
  <c r="AN23" i="1"/>
  <c r="AN19" i="1"/>
  <c r="AN22" i="1"/>
  <c r="AN21" i="1"/>
  <c r="AN24" i="1"/>
  <c r="AN20" i="1"/>
  <c r="AN18" i="1"/>
  <c r="AJ33" i="1"/>
  <c r="AM5" i="1"/>
  <c r="C23" i="2" s="1"/>
  <c r="AP10" i="1"/>
  <c r="AS7" i="1"/>
  <c r="AP7" i="1"/>
  <c r="AN10" i="1"/>
  <c r="AO9" i="1"/>
  <c r="AV12" i="1"/>
  <c r="AM9" i="1"/>
  <c r="AS12" i="1"/>
  <c r="AO12" i="1"/>
  <c r="AN7" i="1"/>
  <c r="AS13" i="1"/>
  <c r="AT8" i="1"/>
  <c r="AN13" i="1"/>
  <c r="AM8" i="1"/>
  <c r="AS10" i="1"/>
  <c r="AR9" i="1"/>
  <c r="AT7" i="1"/>
  <c r="AO7" i="1"/>
  <c r="AT10" i="1"/>
  <c r="AM10" i="1"/>
  <c r="AV8" i="1"/>
  <c r="AP8" i="1"/>
  <c r="AT13" i="1"/>
  <c r="AR13" i="1"/>
  <c r="AV13" i="1"/>
  <c r="AR12" i="1"/>
  <c r="AR11" i="1"/>
  <c r="AS11" i="1"/>
  <c r="AV7" i="1"/>
  <c r="AN8" i="1"/>
  <c r="AM7" i="1"/>
  <c r="AV10" i="1"/>
  <c r="AT12" i="1"/>
  <c r="AN12" i="1"/>
  <c r="AR7" i="1"/>
  <c r="AO11" i="1"/>
  <c r="AO10" i="1"/>
  <c r="AP13" i="1"/>
  <c r="AR10" i="1"/>
  <c r="AP12" i="1"/>
  <c r="AT11" i="1"/>
  <c r="AN9" i="1"/>
  <c r="AR8" i="1"/>
  <c r="AT9" i="1"/>
  <c r="AO13" i="1"/>
  <c r="AP11" i="1"/>
  <c r="AO8" i="1"/>
  <c r="AN11" i="1"/>
  <c r="AM12" i="1"/>
  <c r="AM11" i="1"/>
  <c r="AS9" i="1"/>
  <c r="AS8" i="1"/>
  <c r="AP9" i="1"/>
  <c r="AM13" i="1"/>
  <c r="AV11" i="1"/>
  <c r="AV9" i="1"/>
  <c r="O30" i="10" l="1"/>
  <c r="N31" i="10"/>
  <c r="Q29" i="10"/>
  <c r="N8" i="10"/>
  <c r="Q6" i="10"/>
  <c r="O7" i="10"/>
  <c r="N32" i="10" l="1"/>
  <c r="O31" i="10"/>
  <c r="O8" i="10"/>
  <c r="N9" i="10"/>
  <c r="P30" i="10" l="1"/>
  <c r="N33" i="10"/>
  <c r="O32" i="10"/>
  <c r="O9" i="10"/>
  <c r="N10" i="10"/>
  <c r="Q30" i="10"/>
  <c r="P7" i="10"/>
  <c r="Q7" i="10" s="1"/>
  <c r="P31" i="10" l="1"/>
  <c r="O10" i="10"/>
  <c r="P9" i="10" s="1"/>
  <c r="Q9" i="10" s="1"/>
  <c r="N11" i="10"/>
  <c r="Q31" i="10"/>
  <c r="N34" i="10"/>
  <c r="O33" i="10"/>
  <c r="P8" i="10"/>
  <c r="Q8" i="10" s="1"/>
  <c r="P32" i="10" l="1"/>
  <c r="Q32" i="10" s="1"/>
  <c r="O34" i="10"/>
  <c r="P33" i="10" s="1"/>
  <c r="Q33" i="10" s="1"/>
  <c r="N35" i="10"/>
  <c r="N12" i="10"/>
  <c r="O11" i="10"/>
  <c r="P10" i="10" l="1"/>
  <c r="Q10" i="10" s="1"/>
  <c r="O12" i="10"/>
  <c r="N13" i="10"/>
  <c r="O35" i="10"/>
  <c r="N36" i="10"/>
  <c r="N37" i="10" l="1"/>
  <c r="O36" i="10"/>
  <c r="P34" i="10"/>
  <c r="Q34" i="10" s="1"/>
  <c r="P11" i="10"/>
  <c r="Q11" i="10" s="1"/>
  <c r="O13" i="10"/>
  <c r="N14" i="10"/>
  <c r="P35" i="10" l="1"/>
  <c r="Q35" i="10" s="1"/>
  <c r="P12" i="10"/>
  <c r="Q12" i="10" s="1"/>
  <c r="O14" i="10"/>
  <c r="N15" i="10"/>
  <c r="O37" i="10"/>
  <c r="N38" i="10"/>
  <c r="O38" i="10" l="1"/>
  <c r="P37" i="10" s="1"/>
  <c r="Q37" i="10" s="1"/>
  <c r="N39" i="10"/>
  <c r="P36" i="10"/>
  <c r="Q36" i="10" s="1"/>
  <c r="O15" i="10"/>
  <c r="P14" i="10" s="1"/>
  <c r="Q14" i="10" s="1"/>
  <c r="N16" i="10"/>
  <c r="P13" i="10"/>
  <c r="Q13" i="10" s="1"/>
  <c r="O39" i="10" l="1"/>
  <c r="N40" i="10"/>
  <c r="N17" i="10"/>
  <c r="O16" i="10"/>
  <c r="O17" i="10" l="1"/>
  <c r="P16" i="10" s="1"/>
  <c r="Q16" i="10" s="1"/>
  <c r="N18" i="10"/>
  <c r="P38" i="10"/>
  <c r="Q38" i="10" s="1"/>
  <c r="N41" i="10"/>
  <c r="O40" i="10"/>
  <c r="P15" i="10"/>
  <c r="Q15" i="10" s="1"/>
  <c r="N42" i="10" l="1"/>
  <c r="O41" i="10"/>
  <c r="P40" i="10" s="1"/>
  <c r="Q40" i="10" s="1"/>
  <c r="O18" i="10"/>
  <c r="P17" i="10" s="1"/>
  <c r="Q17" i="10" s="1"/>
  <c r="N19" i="10"/>
  <c r="P39" i="10"/>
  <c r="Q39" i="10" s="1"/>
  <c r="O19" i="10" l="1"/>
  <c r="N20" i="10"/>
  <c r="N43" i="10"/>
  <c r="O42" i="10"/>
  <c r="P41" i="10" l="1"/>
  <c r="Q41" i="10" s="1"/>
  <c r="O43" i="10"/>
  <c r="P42" i="10" s="1"/>
  <c r="Q42" i="10" s="1"/>
  <c r="N44" i="10"/>
  <c r="O20" i="10"/>
  <c r="P19" i="10" s="1"/>
  <c r="Q19" i="10" s="1"/>
  <c r="N21" i="10"/>
  <c r="P18" i="10"/>
  <c r="Q18" i="10" s="1"/>
  <c r="O21" i="10" l="1"/>
  <c r="P20" i="10" s="1"/>
  <c r="Q20" i="10" s="1"/>
  <c r="N22" i="10"/>
  <c r="O44" i="10"/>
  <c r="N45" i="10"/>
  <c r="Q45" i="10" s="1"/>
  <c r="Q22" i="10" l="1"/>
  <c r="Q21" i="10"/>
  <c r="P43" i="10"/>
  <c r="Q43" i="10" s="1"/>
  <c r="O22" i="10"/>
  <c r="R22" i="10" s="1"/>
  <c r="Q44" i="10"/>
  <c r="O45" i="10"/>
  <c r="R45" i="10" s="1"/>
  <c r="R21" i="10" l="1"/>
  <c r="S22" i="10"/>
  <c r="T22" i="10" s="1"/>
  <c r="R44" i="10"/>
  <c r="S45" i="10"/>
  <c r="T45" i="10" s="1"/>
  <c r="R43" i="10" l="1"/>
  <c r="S44" i="10"/>
  <c r="T44" i="10" s="1"/>
  <c r="R20" i="10"/>
  <c r="S21" i="10"/>
  <c r="T21" i="10" s="1"/>
  <c r="S43" i="10" l="1"/>
  <c r="T43" i="10" s="1"/>
  <c r="R42" i="10"/>
  <c r="R19" i="10"/>
  <c r="S20" i="10"/>
  <c r="T20" i="10" s="1"/>
  <c r="R18" i="10" l="1"/>
  <c r="S19" i="10"/>
  <c r="T19" i="10" s="1"/>
  <c r="S42" i="10"/>
  <c r="T42" i="10" s="1"/>
  <c r="R41" i="10"/>
  <c r="R40" i="10" l="1"/>
  <c r="S41" i="10"/>
  <c r="T41" i="10" s="1"/>
  <c r="R17" i="10"/>
  <c r="S18" i="10"/>
  <c r="T18" i="10" s="1"/>
  <c r="S17" i="10" l="1"/>
  <c r="T17" i="10" s="1"/>
  <c r="R16" i="10"/>
  <c r="S40" i="10"/>
  <c r="T40" i="10" s="1"/>
  <c r="R39" i="10"/>
  <c r="R38" i="10" l="1"/>
  <c r="S39" i="10"/>
  <c r="T39" i="10" s="1"/>
  <c r="S16" i="10"/>
  <c r="T16" i="10" s="1"/>
  <c r="R15" i="10"/>
  <c r="R14" i="10" l="1"/>
  <c r="S15" i="10"/>
  <c r="T15" i="10" s="1"/>
  <c r="R37" i="10"/>
  <c r="S38" i="10"/>
  <c r="T38" i="10" s="1"/>
  <c r="R36" i="10" l="1"/>
  <c r="S37" i="10"/>
  <c r="T37" i="10" s="1"/>
  <c r="S14" i="10"/>
  <c r="T14" i="10" s="1"/>
  <c r="R13" i="10"/>
  <c r="R12" i="10" l="1"/>
  <c r="S13" i="10"/>
  <c r="T13" i="10" s="1"/>
  <c r="R35" i="10"/>
  <c r="S36" i="10"/>
  <c r="T36" i="10" s="1"/>
  <c r="S12" i="10" l="1"/>
  <c r="T12" i="10" s="1"/>
  <c r="R11" i="10"/>
  <c r="S35" i="10"/>
  <c r="T35" i="10" s="1"/>
  <c r="R34" i="10"/>
  <c r="S34" i="10" l="1"/>
  <c r="T34" i="10" s="1"/>
  <c r="R33" i="10"/>
  <c r="R10" i="10"/>
  <c r="S11" i="10"/>
  <c r="T11" i="10" s="1"/>
  <c r="S10" i="10" l="1"/>
  <c r="T10" i="10" s="1"/>
  <c r="R9" i="10"/>
  <c r="R32" i="10"/>
  <c r="S33" i="10"/>
  <c r="T33" i="10" s="1"/>
  <c r="R8" i="10" l="1"/>
  <c r="S9" i="10"/>
  <c r="T9" i="10" s="1"/>
  <c r="R31" i="10"/>
  <c r="S32" i="10"/>
  <c r="T32" i="10" s="1"/>
  <c r="R30" i="10" l="1"/>
  <c r="S31" i="10"/>
  <c r="T31" i="10" s="1"/>
  <c r="R7" i="10"/>
  <c r="S8" i="10"/>
  <c r="T8" i="10" s="1"/>
  <c r="S7" i="10" l="1"/>
  <c r="T7" i="10" s="1"/>
  <c r="R6" i="10"/>
  <c r="S30" i="10"/>
  <c r="T30" i="10" s="1"/>
  <c r="R29" i="10"/>
  <c r="S29" i="10" l="1"/>
  <c r="T29" i="10" s="1"/>
  <c r="R28" i="10"/>
  <c r="R5" i="10"/>
  <c r="S6" i="10"/>
  <c r="T6" i="10" s="1"/>
  <c r="R4" i="10" l="1"/>
  <c r="S5" i="10"/>
  <c r="T5" i="10" s="1"/>
  <c r="R27" i="10"/>
  <c r="S28" i="10"/>
  <c r="T28" i="10" s="1"/>
  <c r="S27" i="10" l="1"/>
  <c r="W32" i="10"/>
  <c r="W33" i="10" s="1"/>
  <c r="W9" i="10"/>
  <c r="W10" i="10" s="1"/>
  <c r="S4" i="10"/>
  <c r="T4" i="10" l="1"/>
  <c r="AA27" i="10"/>
  <c r="AA29" i="10" s="1"/>
  <c r="T27" i="10"/>
  <c r="AB27" i="10"/>
  <c r="AB29" i="10" s="1"/>
</calcChain>
</file>

<file path=xl/sharedStrings.xml><?xml version="1.0" encoding="utf-8"?>
<sst xmlns="http://schemas.openxmlformats.org/spreadsheetml/2006/main" count="3394" uniqueCount="137">
  <si>
    <t>15-19</t>
  </si>
  <si>
    <t>20-24</t>
  </si>
  <si>
    <t>25-29</t>
  </si>
  <si>
    <t>30-34</t>
  </si>
  <si>
    <t>35-39</t>
  </si>
  <si>
    <t>40-44</t>
  </si>
  <si>
    <t>45-49</t>
  </si>
  <si>
    <t>Princeton</t>
  </si>
  <si>
    <t>a(x,j)</t>
  </si>
  <si>
    <t>b(x,j)</t>
  </si>
  <si>
    <t>c(x,j)</t>
  </si>
  <si>
    <t>d(x,j)</t>
  </si>
  <si>
    <t>e(x,j)</t>
  </si>
  <si>
    <t>f(x,j)</t>
  </si>
  <si>
    <t>g(x,j)</t>
  </si>
  <si>
    <t>Conversion of D into q</t>
  </si>
  <si>
    <t>Time location</t>
  </si>
  <si>
    <t>Princeton - North</t>
  </si>
  <si>
    <t>Princeton - South</t>
  </si>
  <si>
    <t>Princeton - East</t>
  </si>
  <si>
    <t>Princeton - West</t>
  </si>
  <si>
    <t>UN - Latin America</t>
  </si>
  <si>
    <t>UN - Chile</t>
  </si>
  <si>
    <t>UN - South Asian</t>
  </si>
  <si>
    <t>UN - Far Eastern</t>
  </si>
  <si>
    <t>UN - General</t>
  </si>
  <si>
    <t>Age of mother</t>
  </si>
  <si>
    <t>BY AGE OF MOTHER</t>
  </si>
  <si>
    <t>x</t>
  </si>
  <si>
    <t>0-4</t>
  </si>
  <si>
    <t>5-9</t>
  </si>
  <si>
    <t>10-14</t>
  </si>
  <si>
    <t>Princeton North</t>
  </si>
  <si>
    <t>UN South Asian</t>
  </si>
  <si>
    <t>UN General</t>
  </si>
  <si>
    <t>Duration since first birth</t>
  </si>
  <si>
    <t>Duration since marriage</t>
  </si>
  <si>
    <t>Princeton South</t>
  </si>
  <si>
    <t>Princeton East</t>
  </si>
  <si>
    <t>Princeton West</t>
  </si>
  <si>
    <t>UN</t>
  </si>
  <si>
    <t>North</t>
  </si>
  <si>
    <t>South</t>
  </si>
  <si>
    <t>East</t>
  </si>
  <si>
    <t>West</t>
  </si>
  <si>
    <t>Latin America</t>
  </si>
  <si>
    <t>South Asian</t>
  </si>
  <si>
    <t>Far East</t>
  </si>
  <si>
    <t>General</t>
  </si>
  <si>
    <t>Census date</t>
  </si>
  <si>
    <t>Country</t>
  </si>
  <si>
    <t>Metric</t>
  </si>
  <si>
    <t>Model LTs</t>
  </si>
  <si>
    <t>Age</t>
  </si>
  <si>
    <t>Sex</t>
  </si>
  <si>
    <t>Male</t>
  </si>
  <si>
    <t>Female</t>
  </si>
  <si>
    <t>Both</t>
  </si>
  <si>
    <t>Females</t>
  </si>
  <si>
    <t>Males</t>
  </si>
  <si>
    <t>Combined</t>
  </si>
  <si>
    <t>Mean age of childbearing</t>
  </si>
  <si>
    <t>UN Latin American</t>
  </si>
  <si>
    <t>UN Chilean</t>
  </si>
  <si>
    <t>UN Far Eastern</t>
  </si>
  <si>
    <t>Selected LT</t>
  </si>
  <si>
    <t>Malawi</t>
  </si>
  <si>
    <t xml:space="preserve">This method is described at: </t>
  </si>
  <si>
    <t>Set input parameters</t>
  </si>
  <si>
    <t>This spreadsheet estimates child mortality from data on the mean number of children ever born and surviving by age of mother, the duration since first birth, or duration since marriage.</t>
  </si>
  <si>
    <t>Enter the country name and data descriptor in the green cell to the right.</t>
  </si>
  <si>
    <t>Record the date of the inquiry in the green cell to the right.</t>
  </si>
  <si>
    <t>Set the mortality parameters for the method in the green cells to the right.</t>
  </si>
  <si>
    <t>Variant of method</t>
  </si>
  <si>
    <t>Family of model life tables</t>
  </si>
  <si>
    <t>Mortality pattern</t>
  </si>
  <si>
    <t>Chile</t>
  </si>
  <si>
    <t xml:space="preserve">Specify the variant of the model to be fitted. </t>
  </si>
  <si>
    <t>Estimation of child mortality using data on children ever born and children surviving - Instructions</t>
  </si>
  <si>
    <t>Results</t>
  </si>
  <si>
    <r>
      <t xml:space="preserve">Estimates of infant mortality, </t>
    </r>
    <r>
      <rPr>
        <i/>
        <sz val="12"/>
        <rFont val="Arial"/>
        <family val="2"/>
      </rPr>
      <t>q(</t>
    </r>
    <r>
      <rPr>
        <sz val="12"/>
        <rFont val="Arial"/>
        <family val="2"/>
      </rPr>
      <t xml:space="preserve">1), and child mortality, </t>
    </r>
    <r>
      <rPr>
        <i/>
        <sz val="12"/>
        <rFont val="Arial"/>
        <family val="2"/>
      </rPr>
      <t>q</t>
    </r>
    <r>
      <rPr>
        <sz val="12"/>
        <rFont val="Arial"/>
        <family val="2"/>
      </rPr>
      <t xml:space="preserve">(5), are located in cells </t>
    </r>
    <r>
      <rPr>
        <b/>
        <sz val="12"/>
        <rFont val="Arial"/>
        <family val="2"/>
      </rPr>
      <t>L5:M10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>Method</t>
    </r>
    <r>
      <rPr>
        <sz val="12"/>
        <rFont val="Arial"/>
        <family val="2"/>
      </rPr>
      <t xml:space="preserve"> sheet.</t>
    </r>
  </si>
  <si>
    <r>
      <t xml:space="preserve">Time locations of these estimates are located in cells </t>
    </r>
    <r>
      <rPr>
        <b/>
        <sz val="12"/>
        <rFont val="Arial"/>
        <family val="2"/>
      </rPr>
      <t>K5:K10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 Method</t>
    </r>
    <r>
      <rPr>
        <sz val="12"/>
        <rFont val="Arial"/>
        <family val="2"/>
      </rPr>
      <t xml:space="preserve"> sheet.</t>
    </r>
  </si>
  <si>
    <t>Duration</t>
  </si>
  <si>
    <t>BY DURATION SINCE FIRST BIRTH</t>
  </si>
  <si>
    <t>BY DURATION SINCE MARRIAGE</t>
  </si>
  <si>
    <t>Model variant</t>
  </si>
  <si>
    <t>Model family</t>
  </si>
  <si>
    <t>Model pattern</t>
  </si>
  <si>
    <t>Valid combinations</t>
  </si>
  <si>
    <t>logits with e0 = 60</t>
  </si>
  <si>
    <t>logit l(x)</t>
  </si>
  <si>
    <t>http://demographicestimation.iussp.org/content/indirect-estimation-child-mortality</t>
  </si>
  <si>
    <r>
      <t xml:space="preserve">Place the mean number of children ever born, tabulated according to the variant of the model in cells </t>
    </r>
    <r>
      <rPr>
        <b/>
        <sz val="12"/>
        <rFont val="Arial"/>
        <family val="2"/>
      </rPr>
      <t>B5:B11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</si>
  <si>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r>
      <t xml:space="preserve">Place the mean number of children surviving, tabulated according to the variant of the model in cells </t>
    </r>
    <r>
      <rPr>
        <b/>
        <sz val="12"/>
        <rFont val="Arial"/>
        <family val="2"/>
      </rPr>
      <t>C5:C11</t>
    </r>
    <r>
      <rPr>
        <sz val="12"/>
        <rFont val="Arial"/>
        <family val="2"/>
      </rPr>
      <t xml:space="preserve"> of the </t>
    </r>
    <r>
      <rPr>
        <b/>
        <i/>
        <sz val="12"/>
        <rFont val="Arial"/>
        <family val="2"/>
      </rPr>
      <t xml:space="preserve">Method </t>
    </r>
    <r>
      <rPr>
        <sz val="12"/>
        <rFont val="Arial"/>
        <family val="2"/>
      </rPr>
      <t>sheet.</t>
    </r>
  </si>
  <si>
    <t>México</t>
  </si>
  <si>
    <t>Diff</t>
  </si>
  <si>
    <t>Con COVID</t>
  </si>
  <si>
    <t>Sin COVID</t>
  </si>
  <si>
    <t>Número de años que se espera 
que viva una mujer de 0 años 
hasta llegar a los 85 años.</t>
  </si>
  <si>
    <t>diff</t>
  </si>
  <si>
    <t>e0_i</t>
  </si>
  <si>
    <t>T</t>
  </si>
  <si>
    <t>L</t>
  </si>
  <si>
    <t>ndx_i</t>
  </si>
  <si>
    <t>nqx_i</t>
  </si>
  <si>
    <t>e0</t>
  </si>
  <si>
    <t>nqx</t>
  </si>
  <si>
    <t>nDxi</t>
  </si>
  <si>
    <t>nDx</t>
  </si>
  <si>
    <t>n</t>
  </si>
  <si>
    <t>Age x</t>
  </si>
  <si>
    <t>Número de años que se espera 
que viva un hombre de 0 años 
hasta llegar a los 85 años.</t>
  </si>
  <si>
    <t>Mujeres</t>
  </si>
  <si>
    <t>Hombres</t>
  </si>
  <si>
    <t>Hombres, 2019</t>
  </si>
  <si>
    <t>Mujeres, 2019</t>
  </si>
  <si>
    <t>year</t>
  </si>
  <si>
    <t>sex</t>
  </si>
  <si>
    <t>age</t>
  </si>
  <si>
    <t>deaths</t>
  </si>
  <si>
    <t>male</t>
  </si>
  <si>
    <t>female</t>
  </si>
  <si>
    <t>lt_desc</t>
  </si>
  <si>
    <t>mx</t>
  </si>
  <si>
    <t>qx</t>
  </si>
  <si>
    <t>ax</t>
  </si>
  <si>
    <t>lx</t>
  </si>
  <si>
    <t>dx</t>
  </si>
  <si>
    <t>Lx</t>
  </si>
  <si>
    <t>Tx</t>
  </si>
  <si>
    <t>ex</t>
  </si>
  <si>
    <t>LT VR/Census, MEX</t>
  </si>
  <si>
    <t>m</t>
  </si>
  <si>
    <t>NA</t>
  </si>
  <si>
    <t>f</t>
  </si>
  <si>
    <t>Sin homicidios</t>
  </si>
  <si>
    <t>Con homicidios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</si>
</sst>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"/>
    <numFmt numFmtId="165" formatCode="0.000"/>
    <numFmt numFmtId="166" formatCode="General_)"/>
    <numFmt numFmtId="167" formatCode="0_)"/>
    <numFmt numFmtId="168" formatCode="0.0000_)"/>
    <numFmt numFmtId="169" formatCode="0.000_)"/>
    <numFmt numFmtId="170" formatCode="0.00000_)"/>
    <numFmt numFmtId="171" formatCode="0.00000"/>
    <numFmt numFmtId="172" formatCode="#,##0.0000"/>
  </numFmts>
  <fonts count="2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Courier"/>
      <family val="3"/>
    </font>
    <font>
      <b/>
      <sz val="11"/>
      <name val="Arial Narrow"/>
      <family val="2"/>
    </font>
    <font>
      <sz val="12"/>
      <name val="Helv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006100"/>
      <name val="Arial"/>
      <family val="2"/>
    </font>
    <font>
      <sz val="12"/>
      <color rgb="FF006100"/>
      <name val="Arial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Georgia"/>
      <family val="1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Georgia"/>
      <family val="1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  <fill>
      <patternFill patternType="solid">
        <fgColor theme="8" tint="0.39997558519241921"/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-0.249977111117893"/>
      </left>
      <right/>
      <top style="thin">
        <color theme="9" tint="-0.249977111117893"/>
      </top>
      <bottom style="thin">
        <color theme="9" tint="-0.249977111117893"/>
      </bottom>
      <diagonal/>
    </border>
    <border>
      <left/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166" fontId="2" fillId="0" borderId="0"/>
    <xf numFmtId="167" fontId="4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80">
    <xf numFmtId="0" fontId="0" fillId="0" borderId="0" xfId="0"/>
    <xf numFmtId="0" fontId="7" fillId="0" borderId="0" xfId="4" applyFont="1"/>
    <xf numFmtId="0" fontId="7" fillId="0" borderId="0" xfId="4" applyFont="1" applyAlignment="1">
      <alignment wrapText="1"/>
    </xf>
    <xf numFmtId="0" fontId="6" fillId="0" borderId="0" xfId="4" applyFont="1"/>
    <xf numFmtId="0" fontId="7" fillId="0" borderId="0" xfId="4" applyFont="1" applyAlignment="1">
      <alignment vertical="center"/>
    </xf>
    <xf numFmtId="0" fontId="7" fillId="0" borderId="0" xfId="4" applyFont="1" applyAlignment="1">
      <alignment vertical="top" wrapText="1"/>
    </xf>
    <xf numFmtId="0" fontId="7" fillId="0" borderId="0" xfId="4" applyFont="1" applyAlignment="1">
      <alignment vertical="top"/>
    </xf>
    <xf numFmtId="0" fontId="10" fillId="0" borderId="0" xfId="0" applyFont="1"/>
    <xf numFmtId="0" fontId="7" fillId="0" borderId="13" xfId="4" applyFont="1" applyBorder="1" applyAlignment="1">
      <alignment horizontal="right"/>
    </xf>
    <xf numFmtId="0" fontId="7" fillId="0" borderId="12" xfId="4" applyFont="1" applyBorder="1" applyAlignment="1">
      <alignment horizontal="right"/>
    </xf>
    <xf numFmtId="0" fontId="10" fillId="0" borderId="14" xfId="4" applyFont="1" applyBorder="1" applyAlignment="1">
      <alignment horizontal="right"/>
    </xf>
    <xf numFmtId="0" fontId="7" fillId="0" borderId="0" xfId="4" applyFont="1" applyAlignment="1">
      <alignment horizontal="left"/>
    </xf>
    <xf numFmtId="0" fontId="7" fillId="0" borderId="20" xfId="4" applyFont="1" applyBorder="1" applyAlignment="1">
      <alignment horizontal="right"/>
    </xf>
    <xf numFmtId="0" fontId="10" fillId="0" borderId="12" xfId="0" applyFont="1" applyBorder="1"/>
    <xf numFmtId="0" fontId="10" fillId="0" borderId="0" xfId="0" applyFont="1" applyAlignment="1">
      <alignment horizontal="right"/>
    </xf>
    <xf numFmtId="0" fontId="10" fillId="0" borderId="12" xfId="0" applyFont="1" applyBorder="1" applyAlignment="1">
      <alignment horizontal="right"/>
    </xf>
    <xf numFmtId="0" fontId="10" fillId="0" borderId="14" xfId="0" applyFont="1" applyBorder="1" applyAlignment="1">
      <alignment horizontal="right"/>
    </xf>
    <xf numFmtId="0" fontId="10" fillId="0" borderId="18" xfId="0" applyFont="1" applyBorder="1"/>
    <xf numFmtId="0" fontId="10" fillId="0" borderId="0" xfId="0" applyFont="1" applyProtection="1">
      <protection locked="0"/>
    </xf>
    <xf numFmtId="0" fontId="10" fillId="0" borderId="0" xfId="0" applyFont="1" applyAlignment="1">
      <alignment wrapText="1"/>
    </xf>
    <xf numFmtId="0" fontId="14" fillId="0" borderId="0" xfId="0" applyFont="1"/>
    <xf numFmtId="164" fontId="14" fillId="0" borderId="0" xfId="0" applyNumberFormat="1" applyFont="1"/>
    <xf numFmtId="1" fontId="14" fillId="0" borderId="0" xfId="0" applyNumberFormat="1" applyFont="1"/>
    <xf numFmtId="0" fontId="14" fillId="0" borderId="0" xfId="0" applyFont="1" applyAlignment="1">
      <alignment horizontal="right" vertical="center"/>
    </xf>
    <xf numFmtId="0" fontId="15" fillId="0" borderId="0" xfId="0" applyFont="1"/>
    <xf numFmtId="0" fontId="7" fillId="0" borderId="0" xfId="4" applyFont="1" applyAlignment="1">
      <alignment horizontal="right" vertical="top"/>
    </xf>
    <xf numFmtId="0" fontId="15" fillId="0" borderId="7" xfId="0" applyFont="1" applyBorder="1"/>
    <xf numFmtId="0" fontId="14" fillId="0" borderId="0" xfId="0" applyFont="1" applyAlignment="1">
      <alignment horizontal="right" vertical="center" wrapText="1"/>
    </xf>
    <xf numFmtId="164" fontId="14" fillId="0" borderId="0" xfId="0" applyNumberFormat="1" applyFont="1" applyAlignment="1">
      <alignment vertical="top" wrapText="1"/>
    </xf>
    <xf numFmtId="1" fontId="14" fillId="0" borderId="0" xfId="0" applyNumberFormat="1" applyFont="1" applyAlignment="1">
      <alignment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16" fontId="15" fillId="0" borderId="0" xfId="0" applyNumberFormat="1" applyFont="1" applyAlignment="1">
      <alignment vertical="center" wrapText="1"/>
    </xf>
    <xf numFmtId="17" fontId="15" fillId="0" borderId="0" xfId="0" applyNumberFormat="1" applyFont="1" applyAlignment="1">
      <alignment vertical="center" wrapText="1"/>
    </xf>
    <xf numFmtId="0" fontId="15" fillId="0" borderId="1" xfId="0" applyFont="1" applyBorder="1"/>
    <xf numFmtId="0" fontId="15" fillId="0" borderId="4" xfId="0" applyFont="1" applyBorder="1"/>
    <xf numFmtId="0" fontId="14" fillId="0" borderId="4" xfId="0" applyFont="1" applyBorder="1"/>
    <xf numFmtId="164" fontId="14" fillId="0" borderId="5" xfId="0" applyNumberFormat="1" applyFont="1" applyBorder="1"/>
    <xf numFmtId="0" fontId="14" fillId="0" borderId="4" xfId="0" applyFont="1" applyBorder="1" applyAlignment="1">
      <alignment vertical="top" wrapText="1"/>
    </xf>
    <xf numFmtId="0" fontId="19" fillId="0" borderId="0" xfId="0" applyFont="1" applyAlignment="1">
      <alignment vertical="center" wrapText="1"/>
    </xf>
    <xf numFmtId="0" fontId="14" fillId="0" borderId="5" xfId="0" applyFont="1" applyBorder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4" fillId="0" borderId="5" xfId="0" applyFont="1" applyBorder="1"/>
    <xf numFmtId="164" fontId="14" fillId="0" borderId="0" xfId="0" applyNumberFormat="1" applyFont="1" applyAlignment="1">
      <alignment horizontal="right" vertical="center" wrapText="1"/>
    </xf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5" fillId="0" borderId="2" xfId="0" applyFont="1" applyBorder="1"/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9" fillId="0" borderId="5" xfId="0" applyFont="1" applyBorder="1" applyAlignment="1">
      <alignment vertical="center"/>
    </xf>
    <xf numFmtId="0" fontId="15" fillId="0" borderId="6" xfId="0" applyFont="1" applyBorder="1"/>
    <xf numFmtId="0" fontId="16" fillId="0" borderId="7" xfId="0" applyFont="1" applyBorder="1" applyAlignment="1">
      <alignment horizontal="right"/>
    </xf>
    <xf numFmtId="0" fontId="15" fillId="0" borderId="8" xfId="0" applyFont="1" applyBorder="1"/>
    <xf numFmtId="167" fontId="5" fillId="6" borderId="0" xfId="3" applyFont="1" applyFill="1"/>
    <xf numFmtId="167" fontId="5" fillId="6" borderId="23" xfId="3" applyFont="1" applyFill="1" applyBorder="1"/>
    <xf numFmtId="167" fontId="5" fillId="6" borderId="24" xfId="3" applyFont="1" applyFill="1" applyBorder="1"/>
    <xf numFmtId="167" fontId="5" fillId="6" borderId="9" xfId="3" applyFont="1" applyFill="1" applyBorder="1"/>
    <xf numFmtId="169" fontId="5" fillId="6" borderId="0" xfId="3" applyNumberFormat="1" applyFont="1" applyFill="1"/>
    <xf numFmtId="0" fontId="14" fillId="0" borderId="7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14" fillId="0" borderId="7" xfId="0" applyFont="1" applyBorder="1" applyAlignment="1">
      <alignment horizontal="right" vertical="center" wrapText="1"/>
    </xf>
    <xf numFmtId="1" fontId="14" fillId="0" borderId="4" xfId="0" applyNumberFormat="1" applyFont="1" applyBorder="1"/>
    <xf numFmtId="1" fontId="14" fillId="0" borderId="5" xfId="0" applyNumberFormat="1" applyFont="1" applyBorder="1"/>
    <xf numFmtId="167" fontId="5" fillId="0" borderId="1" xfId="3" applyFont="1" applyBorder="1"/>
    <xf numFmtId="167" fontId="5" fillId="0" borderId="4" xfId="3" applyFont="1" applyBorder="1"/>
    <xf numFmtId="170" fontId="5" fillId="0" borderId="0" xfId="3" applyNumberFormat="1" applyFont="1"/>
    <xf numFmtId="167" fontId="5" fillId="0" borderId="6" xfId="3" applyFont="1" applyBorder="1"/>
    <xf numFmtId="171" fontId="14" fillId="0" borderId="4" xfId="0" applyNumberFormat="1" applyFont="1" applyBorder="1"/>
    <xf numFmtId="171" fontId="14" fillId="0" borderId="0" xfId="0" applyNumberFormat="1" applyFont="1"/>
    <xf numFmtId="171" fontId="14" fillId="0" borderId="5" xfId="0" applyNumberFormat="1" applyFont="1" applyBorder="1"/>
    <xf numFmtId="171" fontId="14" fillId="0" borderId="6" xfId="0" applyNumberFormat="1" applyFont="1" applyBorder="1"/>
    <xf numFmtId="171" fontId="14" fillId="0" borderId="7" xfId="0" applyNumberFormat="1" applyFont="1" applyBorder="1"/>
    <xf numFmtId="171" fontId="14" fillId="0" borderId="8" xfId="0" applyNumberFormat="1" applyFont="1" applyBorder="1"/>
    <xf numFmtId="0" fontId="15" fillId="0" borderId="25" xfId="0" applyFont="1" applyBorder="1"/>
    <xf numFmtId="0" fontId="15" fillId="0" borderId="26" xfId="0" applyFont="1" applyBorder="1"/>
    <xf numFmtId="0" fontId="15" fillId="0" borderId="27" xfId="0" applyFont="1" applyBorder="1"/>
    <xf numFmtId="0" fontId="16" fillId="0" borderId="0" xfId="0" applyFont="1" applyAlignment="1">
      <alignment horizontal="right"/>
    </xf>
    <xf numFmtId="168" fontId="5" fillId="0" borderId="0" xfId="3" applyNumberFormat="1" applyFont="1"/>
    <xf numFmtId="0" fontId="16" fillId="0" borderId="0" xfId="0" applyFont="1"/>
    <xf numFmtId="0" fontId="14" fillId="0" borderId="3" xfId="0" applyFont="1" applyBorder="1"/>
    <xf numFmtId="170" fontId="5" fillId="0" borderId="5" xfId="3" applyNumberFormat="1" applyFont="1" applyBorder="1"/>
    <xf numFmtId="170" fontId="5" fillId="0" borderId="8" xfId="3" applyNumberFormat="1" applyFont="1" applyBorder="1"/>
    <xf numFmtId="164" fontId="14" fillId="0" borderId="0" xfId="0" applyNumberFormat="1" applyFont="1" applyAlignment="1">
      <alignment vertical="center"/>
    </xf>
    <xf numFmtId="0" fontId="21" fillId="0" borderId="0" xfId="0" applyFont="1"/>
    <xf numFmtId="2" fontId="0" fillId="0" borderId="0" xfId="0" applyNumberFormat="1"/>
    <xf numFmtId="2" fontId="0" fillId="0" borderId="28" xfId="0" applyNumberFormat="1" applyBorder="1"/>
    <xf numFmtId="2" fontId="20" fillId="0" borderId="8" xfId="0" applyNumberFormat="1" applyFont="1" applyBorder="1"/>
    <xf numFmtId="2" fontId="22" fillId="0" borderId="7" xfId="0" applyNumberFormat="1" applyFont="1" applyBorder="1" applyAlignment="1">
      <alignment horizontal="center"/>
    </xf>
    <xf numFmtId="3" fontId="22" fillId="0" borderId="7" xfId="0" applyNumberFormat="1" applyFont="1" applyBorder="1" applyAlignment="1">
      <alignment horizontal="center"/>
    </xf>
    <xf numFmtId="165" fontId="22" fillId="0" borderId="7" xfId="0" applyNumberFormat="1" applyFont="1" applyBorder="1" applyAlignment="1">
      <alignment horizontal="center"/>
    </xf>
    <xf numFmtId="172" fontId="22" fillId="0" borderId="7" xfId="0" applyNumberFormat="1" applyFont="1" applyBorder="1" applyAlignment="1">
      <alignment horizontal="center"/>
    </xf>
    <xf numFmtId="164" fontId="22" fillId="0" borderId="7" xfId="0" applyNumberFormat="1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6" xfId="0" applyFont="1" applyBorder="1" applyAlignment="1">
      <alignment horizontal="center"/>
    </xf>
    <xf numFmtId="2" fontId="20" fillId="0" borderId="5" xfId="0" applyNumberFormat="1" applyFont="1" applyBorder="1"/>
    <xf numFmtId="2" fontId="22" fillId="0" borderId="0" xfId="0" applyNumberFormat="1" applyFont="1" applyAlignment="1">
      <alignment horizontal="center"/>
    </xf>
    <xf numFmtId="3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172" fontId="22" fillId="0" borderId="0" xfId="0" applyNumberFormat="1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4" xfId="0" applyFont="1" applyBorder="1" applyAlignment="1">
      <alignment horizontal="center"/>
    </xf>
    <xf numFmtId="2" fontId="20" fillId="0" borderId="29" xfId="0" applyNumberFormat="1" applyFont="1" applyBorder="1"/>
    <xf numFmtId="0" fontId="21" fillId="0" borderId="29" xfId="0" applyFont="1" applyBorder="1"/>
    <xf numFmtId="2" fontId="20" fillId="0" borderId="0" xfId="0" applyNumberFormat="1" applyFont="1"/>
    <xf numFmtId="0" fontId="21" fillId="0" borderId="29" xfId="0" applyFont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27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5" fillId="0" borderId="0" xfId="0" applyFont="1" applyAlignment="1">
      <alignment horizontal="left"/>
    </xf>
    <xf numFmtId="3" fontId="22" fillId="8" borderId="0" xfId="0" applyNumberFormat="1" applyFont="1" applyFill="1" applyAlignment="1">
      <alignment horizontal="center"/>
    </xf>
    <xf numFmtId="3" fontId="22" fillId="8" borderId="7" xfId="0" applyNumberFormat="1" applyFont="1" applyFill="1" applyBorder="1" applyAlignment="1">
      <alignment horizontal="center"/>
    </xf>
    <xf numFmtId="3" fontId="22" fillId="9" borderId="0" xfId="0" applyNumberFormat="1" applyFont="1" applyFill="1" applyAlignment="1">
      <alignment horizontal="center"/>
    </xf>
    <xf numFmtId="3" fontId="22" fillId="9" borderId="7" xfId="0" applyNumberFormat="1" applyFont="1" applyFill="1" applyBorder="1" applyAlignment="1">
      <alignment horizontal="center"/>
    </xf>
    <xf numFmtId="164" fontId="22" fillId="8" borderId="0" xfId="0" applyNumberFormat="1" applyFont="1" applyFill="1" applyAlignment="1">
      <alignment horizontal="center"/>
    </xf>
    <xf numFmtId="164" fontId="22" fillId="8" borderId="7" xfId="0" applyNumberFormat="1" applyFont="1" applyFill="1" applyBorder="1" applyAlignment="1">
      <alignment horizontal="center"/>
    </xf>
    <xf numFmtId="0" fontId="22" fillId="8" borderId="0" xfId="0" applyFont="1" applyFill="1" applyAlignment="1">
      <alignment horizontal="center"/>
    </xf>
    <xf numFmtId="0" fontId="22" fillId="8" borderId="7" xfId="0" applyFont="1" applyFill="1" applyBorder="1" applyAlignment="1">
      <alignment horizontal="center"/>
    </xf>
    <xf numFmtId="2" fontId="22" fillId="8" borderId="0" xfId="0" applyNumberFormat="1" applyFont="1" applyFill="1" applyAlignment="1">
      <alignment horizontal="center"/>
    </xf>
    <xf numFmtId="2" fontId="22" fillId="8" borderId="7" xfId="0" applyNumberFormat="1" applyFont="1" applyFill="1" applyBorder="1" applyAlignment="1">
      <alignment horizontal="center"/>
    </xf>
    <xf numFmtId="3" fontId="22" fillId="10" borderId="0" xfId="0" applyNumberFormat="1" applyFont="1" applyFill="1" applyAlignment="1">
      <alignment horizontal="center"/>
    </xf>
    <xf numFmtId="3" fontId="22" fillId="10" borderId="7" xfId="0" applyNumberFormat="1" applyFont="1" applyFill="1" applyBorder="1" applyAlignment="1">
      <alignment horizontal="center"/>
    </xf>
    <xf numFmtId="3" fontId="22" fillId="11" borderId="0" xfId="0" applyNumberFormat="1" applyFont="1" applyFill="1" applyAlignment="1">
      <alignment horizontal="center"/>
    </xf>
    <xf numFmtId="164" fontId="22" fillId="10" borderId="0" xfId="0" applyNumberFormat="1" applyFont="1" applyFill="1" applyAlignment="1">
      <alignment horizontal="center"/>
    </xf>
    <xf numFmtId="3" fontId="22" fillId="11" borderId="7" xfId="0" applyNumberFormat="1" applyFont="1" applyFill="1" applyBorder="1" applyAlignment="1">
      <alignment horizontal="center"/>
    </xf>
    <xf numFmtId="164" fontId="22" fillId="10" borderId="7" xfId="0" applyNumberFormat="1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2" fontId="22" fillId="10" borderId="0" xfId="0" applyNumberFormat="1" applyFont="1" applyFill="1" applyAlignment="1">
      <alignment horizontal="center"/>
    </xf>
    <xf numFmtId="0" fontId="22" fillId="10" borderId="7" xfId="0" applyFont="1" applyFill="1" applyBorder="1" applyAlignment="1">
      <alignment horizontal="center"/>
    </xf>
    <xf numFmtId="2" fontId="22" fillId="10" borderId="7" xfId="0" applyNumberFormat="1" applyFont="1" applyFill="1" applyBorder="1" applyAlignment="1">
      <alignment horizontal="center"/>
    </xf>
    <xf numFmtId="2" fontId="26" fillId="12" borderId="0" xfId="0" applyNumberFormat="1" applyFont="1" applyFill="1" applyAlignment="1">
      <alignment horizontal="center"/>
    </xf>
    <xf numFmtId="2" fontId="26" fillId="13" borderId="0" xfId="0" applyNumberFormat="1" applyFont="1" applyFill="1" applyAlignment="1">
      <alignment horizontal="center"/>
    </xf>
    <xf numFmtId="2" fontId="26" fillId="14" borderId="0" xfId="0" applyNumberFormat="1" applyFont="1" applyFill="1" applyAlignment="1">
      <alignment horizontal="center"/>
    </xf>
    <xf numFmtId="2" fontId="26" fillId="15" borderId="0" xfId="0" applyNumberFormat="1" applyFont="1" applyFill="1" applyAlignment="1">
      <alignment horizontal="center"/>
    </xf>
    <xf numFmtId="0" fontId="0" fillId="13" borderId="0" xfId="0" applyFill="1"/>
    <xf numFmtId="0" fontId="0" fillId="10" borderId="0" xfId="0" applyFill="1"/>
    <xf numFmtId="0" fontId="0" fillId="0" borderId="0" xfId="0" quotePrefix="1"/>
    <xf numFmtId="0" fontId="0" fillId="13" borderId="0" xfId="0" quotePrefix="1" applyFill="1"/>
    <xf numFmtId="0" fontId="0" fillId="10" borderId="0" xfId="0" quotePrefix="1" applyFill="1"/>
    <xf numFmtId="0" fontId="20" fillId="0" borderId="28" xfId="0" applyFont="1" applyBorder="1"/>
    <xf numFmtId="0" fontId="11" fillId="0" borderId="0" xfId="0" applyFont="1" applyAlignment="1">
      <alignment horizontal="center" vertical="top" wrapText="1"/>
    </xf>
    <xf numFmtId="165" fontId="12" fillId="2" borderId="15" xfId="1" applyNumberFormat="1" applyFont="1" applyBorder="1" applyAlignment="1" applyProtection="1">
      <alignment horizontal="center"/>
      <protection locked="0"/>
    </xf>
    <xf numFmtId="165" fontId="12" fillId="2" borderId="17" xfId="1" applyNumberFormat="1" applyFont="1" applyBorder="1" applyAlignment="1" applyProtection="1">
      <alignment horizontal="center"/>
      <protection locked="0"/>
    </xf>
    <xf numFmtId="0" fontId="13" fillId="3" borderId="0" xfId="1" applyFont="1" applyFill="1" applyBorder="1" applyAlignment="1" applyProtection="1">
      <alignment horizontal="center"/>
    </xf>
    <xf numFmtId="0" fontId="13" fillId="3" borderId="18" xfId="1" applyFont="1" applyFill="1" applyBorder="1" applyAlignment="1" applyProtection="1">
      <alignment horizontal="center"/>
    </xf>
    <xf numFmtId="14" fontId="13" fillId="2" borderId="16" xfId="1" applyNumberFormat="1" applyFont="1" applyBorder="1" applyAlignment="1" applyProtection="1">
      <alignment horizontal="center"/>
      <protection locked="0"/>
    </xf>
    <xf numFmtId="14" fontId="13" fillId="2" borderId="19" xfId="1" applyNumberFormat="1" applyFont="1" applyBorder="1" applyAlignment="1" applyProtection="1">
      <alignment horizontal="center"/>
      <protection locked="0"/>
    </xf>
    <xf numFmtId="165" fontId="13" fillId="2" borderId="21" xfId="1" applyNumberFormat="1" applyFont="1" applyBorder="1" applyAlignment="1" applyProtection="1">
      <alignment horizontal="right"/>
      <protection locked="0"/>
    </xf>
    <xf numFmtId="165" fontId="13" fillId="2" borderId="22" xfId="1" applyNumberFormat="1" applyFont="1" applyBorder="1" applyAlignment="1" applyProtection="1">
      <alignment horizontal="right"/>
      <protection locked="0"/>
    </xf>
    <xf numFmtId="165" fontId="13" fillId="2" borderId="15" xfId="1" applyNumberFormat="1" applyFont="1" applyBorder="1" applyAlignment="1" applyProtection="1">
      <alignment horizontal="right"/>
      <protection locked="0"/>
    </xf>
    <xf numFmtId="165" fontId="13" fillId="2" borderId="17" xfId="1" applyNumberFormat="1" applyFont="1" applyBorder="1" applyAlignment="1" applyProtection="1">
      <alignment horizontal="right"/>
      <protection locked="0"/>
    </xf>
    <xf numFmtId="0" fontId="6" fillId="4" borderId="10" xfId="4" applyFont="1" applyFill="1" applyBorder="1" applyAlignment="1">
      <alignment horizontal="center" wrapText="1"/>
    </xf>
    <xf numFmtId="0" fontId="6" fillId="4" borderId="11" xfId="4" applyFont="1" applyFill="1" applyBorder="1" applyAlignment="1">
      <alignment horizontal="center" wrapText="1"/>
    </xf>
    <xf numFmtId="0" fontId="7" fillId="0" borderId="0" xfId="4" applyFont="1" applyAlignment="1">
      <alignment horizontal="left" vertical="top" wrapText="1"/>
    </xf>
    <xf numFmtId="165" fontId="13" fillId="2" borderId="0" xfId="1" applyNumberFormat="1" applyFont="1" applyBorder="1" applyAlignment="1" applyProtection="1">
      <alignment horizontal="right"/>
      <protection locked="0"/>
    </xf>
    <xf numFmtId="165" fontId="13" fillId="2" borderId="18" xfId="1" applyNumberFormat="1" applyFont="1" applyBorder="1" applyAlignment="1" applyProtection="1">
      <alignment horizontal="right"/>
      <protection locked="0"/>
    </xf>
    <xf numFmtId="0" fontId="13" fillId="5" borderId="16" xfId="0" applyFont="1" applyFill="1" applyBorder="1" applyAlignment="1" applyProtection="1">
      <alignment horizontal="right"/>
      <protection locked="0"/>
    </xf>
    <xf numFmtId="0" fontId="13" fillId="5" borderId="19" xfId="0" applyFont="1" applyFill="1" applyBorder="1" applyAlignment="1" applyProtection="1">
      <alignment horizontal="right"/>
      <protection locked="0"/>
    </xf>
    <xf numFmtId="0" fontId="13" fillId="2" borderId="0" xfId="1" applyFont="1" applyBorder="1" applyAlignment="1" applyProtection="1">
      <alignment horizontal="right"/>
      <protection locked="0"/>
    </xf>
    <xf numFmtId="0" fontId="13" fillId="2" borderId="18" xfId="1" applyFont="1" applyBorder="1" applyAlignment="1" applyProtection="1">
      <alignment horizontal="right"/>
      <protection locked="0"/>
    </xf>
    <xf numFmtId="166" fontId="9" fillId="0" borderId="12" xfId="5" applyNumberFormat="1" applyFont="1" applyFill="1" applyBorder="1" applyAlignment="1" applyProtection="1">
      <alignment horizontal="center"/>
      <protection locked="0"/>
    </xf>
    <xf numFmtId="166" fontId="9" fillId="0" borderId="0" xfId="5" applyNumberFormat="1" applyFont="1" applyFill="1" applyBorder="1" applyAlignment="1" applyProtection="1">
      <alignment horizontal="center"/>
      <protection locked="0"/>
    </xf>
    <xf numFmtId="0" fontId="15" fillId="0" borderId="0" xfId="0" applyFont="1" applyAlignment="1">
      <alignment horizontal="center"/>
    </xf>
    <xf numFmtId="0" fontId="15" fillId="0" borderId="5" xfId="0" applyFont="1" applyBorder="1" applyAlignment="1">
      <alignment horizontal="center"/>
    </xf>
    <xf numFmtId="167" fontId="3" fillId="6" borderId="0" xfId="3" applyFont="1" applyFill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20" fillId="0" borderId="35" xfId="0" applyFont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3" xfId="0" applyFont="1" applyBorder="1" applyAlignment="1">
      <alignment vertical="center" wrapText="1"/>
    </xf>
    <xf numFmtId="0" fontId="23" fillId="0" borderId="32" xfId="0" applyFont="1" applyBorder="1" applyAlignment="1">
      <alignment vertical="center" wrapText="1"/>
    </xf>
    <xf numFmtId="0" fontId="23" fillId="0" borderId="31" xfId="0" applyFont="1" applyBorder="1" applyAlignment="1">
      <alignment vertical="center" wrapText="1"/>
    </xf>
    <xf numFmtId="0" fontId="23" fillId="0" borderId="30" xfId="0" applyFont="1" applyBorder="1" applyAlignment="1">
      <alignment vertical="center" wrapText="1"/>
    </xf>
    <xf numFmtId="0" fontId="21" fillId="16" borderId="0" xfId="0" applyFont="1" applyFill="1" applyAlignment="1">
      <alignment horizontal="center"/>
    </xf>
    <xf numFmtId="0" fontId="21" fillId="7" borderId="0" xfId="0" applyFont="1" applyFill="1" applyAlignment="1">
      <alignment horizontal="center"/>
    </xf>
  </cellXfs>
  <cellStyles count="6">
    <cellStyle name="Bueno" xfId="1" builtinId="26"/>
    <cellStyle name="Hipervínculo" xfId="5" builtinId="8"/>
    <cellStyle name="Normal" xfId="0" builtinId="0"/>
    <cellStyle name="Normal 2" xfId="3" xr:uid="{00000000-0005-0000-0000-000003000000}"/>
    <cellStyle name="Normal 3" xfId="2" xr:uid="{00000000-0005-0000-0000-000004000000}"/>
    <cellStyle name="Normal 3 2 2" xfId="4" xr:uid="{00000000-0005-0000-0000-000005000000}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06100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800" b="0">
                <a:solidFill>
                  <a:srgbClr val="757575"/>
                </a:solidFill>
                <a:latin typeface="+mn-lt"/>
              </a:defRPr>
            </a:pPr>
            <a:r>
              <a:rPr lang="es-MX" sz="1800" b="0">
                <a:solidFill>
                  <a:srgbClr val="757575"/>
                </a:solidFill>
                <a:latin typeface="+mn-lt"/>
              </a:rPr>
              <a:t>Mujeres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Múltiples'!$I$26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Múltiples'!$I$27:$I$45</c:f>
              <c:numCache>
                <c:formatCode>0.0000</c:formatCode>
                <c:ptCount val="19"/>
                <c:pt idx="0">
                  <c:v>9.7199999999999509E-3</c:v>
                </c:pt>
                <c:pt idx="1">
                  <c:v>1.5739999999999643E-3</c:v>
                </c:pt>
                <c:pt idx="2">
                  <c:v>1.0839999999999739E-3</c:v>
                </c:pt>
                <c:pt idx="3">
                  <c:v>1.2560000000000349E-3</c:v>
                </c:pt>
                <c:pt idx="4">
                  <c:v>2.3619999999999752E-3</c:v>
                </c:pt>
                <c:pt idx="5">
                  <c:v>2.4079999999999657E-3</c:v>
                </c:pt>
                <c:pt idx="6">
                  <c:v>2.9959999999999987E-3</c:v>
                </c:pt>
                <c:pt idx="7">
                  <c:v>3.6150000000000349E-3</c:v>
                </c:pt>
                <c:pt idx="8">
                  <c:v>4.8930000000000362E-3</c:v>
                </c:pt>
                <c:pt idx="9">
                  <c:v>7.3999999999999622E-3</c:v>
                </c:pt>
                <c:pt idx="10">
                  <c:v>1.022500000000004E-2</c:v>
                </c:pt>
                <c:pt idx="11">
                  <c:v>1.7898999999999998E-2</c:v>
                </c:pt>
                <c:pt idx="12">
                  <c:v>2.8182999999999958E-2</c:v>
                </c:pt>
                <c:pt idx="13">
                  <c:v>4.2196000000000011E-2</c:v>
                </c:pt>
                <c:pt idx="14">
                  <c:v>6.4775999999999945E-2</c:v>
                </c:pt>
                <c:pt idx="15">
                  <c:v>9.0826999999999991E-2</c:v>
                </c:pt>
                <c:pt idx="16">
                  <c:v>0.142038</c:v>
                </c:pt>
                <c:pt idx="17">
                  <c:v>0.24653599999999998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A-4DCE-B5CE-771242FCAD13}"/>
            </c:ext>
          </c:extLst>
        </c:ser>
        <c:ser>
          <c:idx val="1"/>
          <c:order val="1"/>
          <c:tx>
            <c:strRef>
              <c:f>'Decrementos Múltiples'!$M$26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chemeClr val="accent6">
                  <a:lumMod val="75000"/>
                </a:schemeClr>
              </a:solidFill>
            </a:ln>
          </c:spPr>
          <c:marker>
            <c:symbol val="none"/>
          </c:marker>
          <c:cat>
            <c:numRef>
              <c:f>'Decrementos Múltiples'!$B$27:$B$45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Múltiples'!$M$27:$M$45</c:f>
              <c:numCache>
                <c:formatCode>#,##0.0000</c:formatCode>
                <c:ptCount val="19"/>
                <c:pt idx="0">
                  <c:v>9.0511792305301153E-3</c:v>
                </c:pt>
                <c:pt idx="1">
                  <c:v>5.4732757890940675E-4</c:v>
                </c:pt>
                <c:pt idx="2">
                  <c:v>-1.6044846133067558E-4</c:v>
                </c:pt>
                <c:pt idx="3">
                  <c:v>-1.0457082489570002E-3</c:v>
                </c:pt>
                <c:pt idx="4">
                  <c:v>-1.2285519114289878E-2</c:v>
                </c:pt>
                <c:pt idx="5">
                  <c:v>-1.0844760924203722E-2</c:v>
                </c:pt>
                <c:pt idx="6">
                  <c:v>-1.2388158828555484E-2</c:v>
                </c:pt>
                <c:pt idx="7">
                  <c:v>-1.208550235453254E-2</c:v>
                </c:pt>
                <c:pt idx="8">
                  <c:v>-1.0237174360113288E-2</c:v>
                </c:pt>
                <c:pt idx="9">
                  <c:v>-1.1466811177179626E-2</c:v>
                </c:pt>
                <c:pt idx="10">
                  <c:v>-7.7994755966372953E-3</c:v>
                </c:pt>
                <c:pt idx="11">
                  <c:v>-1.4531365660575002E-3</c:v>
                </c:pt>
                <c:pt idx="12">
                  <c:v>1.7819669062314469E-3</c:v>
                </c:pt>
                <c:pt idx="13">
                  <c:v>2.1795813252092455E-2</c:v>
                </c:pt>
                <c:pt idx="14">
                  <c:v>4.2789605126545727E-2</c:v>
                </c:pt>
                <c:pt idx="15">
                  <c:v>7.1772431247309587E-2</c:v>
                </c:pt>
                <c:pt idx="16">
                  <c:v>0.1094654606352885</c:v>
                </c:pt>
                <c:pt idx="17">
                  <c:v>0.21840721640963301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A-4DCE-B5CE-771242FCA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s-MX" b="0">
                <a:solidFill>
                  <a:srgbClr val="757575"/>
                </a:solidFill>
                <a:latin typeface="+mn-lt"/>
              </a:rPr>
              <a:t>Hombres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'Decrementos Múltiples'!$I$3</c:f>
              <c:strCache>
                <c:ptCount val="1"/>
                <c:pt idx="0">
                  <c:v>nqx</c:v>
                </c:pt>
              </c:strCache>
            </c:strRef>
          </c:tx>
          <c:spPr>
            <a:ln cmpd="sng">
              <a:solidFill>
                <a:srgbClr val="1CADE4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Múltiples'!$I$4:$I$22</c:f>
              <c:numCache>
                <c:formatCode>0.0000</c:formatCode>
                <c:ptCount val="19"/>
                <c:pt idx="0">
                  <c:v>1.247699999999996E-2</c:v>
                </c:pt>
                <c:pt idx="1">
                  <c:v>2.3999999999999577E-3</c:v>
                </c:pt>
                <c:pt idx="2">
                  <c:v>1.1020000000000474E-3</c:v>
                </c:pt>
                <c:pt idx="3">
                  <c:v>1.5410000000000146E-3</c:v>
                </c:pt>
                <c:pt idx="4">
                  <c:v>4.4079999999999675E-3</c:v>
                </c:pt>
                <c:pt idx="5">
                  <c:v>8.1940000000000346E-3</c:v>
                </c:pt>
                <c:pt idx="6">
                  <c:v>8.8949999999999863E-3</c:v>
                </c:pt>
                <c:pt idx="7">
                  <c:v>1.1037999999999992E-2</c:v>
                </c:pt>
                <c:pt idx="8">
                  <c:v>1.2855999999999979E-2</c:v>
                </c:pt>
                <c:pt idx="9">
                  <c:v>1.7657000000000034E-2</c:v>
                </c:pt>
                <c:pt idx="10">
                  <c:v>2.4418000000000051E-2</c:v>
                </c:pt>
                <c:pt idx="11">
                  <c:v>3.2526000000000055E-2</c:v>
                </c:pt>
                <c:pt idx="12">
                  <c:v>4.7773999999999983E-2</c:v>
                </c:pt>
                <c:pt idx="13">
                  <c:v>6.6135000000000055E-2</c:v>
                </c:pt>
                <c:pt idx="14">
                  <c:v>8.9990000000000014E-2</c:v>
                </c:pt>
                <c:pt idx="15">
                  <c:v>0.13117299999999998</c:v>
                </c:pt>
                <c:pt idx="16">
                  <c:v>0.19047000000000003</c:v>
                </c:pt>
                <c:pt idx="17">
                  <c:v>0.29941799999999996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B9-4C8D-A1A2-095788EF4983}"/>
            </c:ext>
          </c:extLst>
        </c:ser>
        <c:ser>
          <c:idx val="1"/>
          <c:order val="1"/>
          <c:tx>
            <c:strRef>
              <c:f>'Decrementos Múltiples'!$M$3</c:f>
              <c:strCache>
                <c:ptCount val="1"/>
                <c:pt idx="0">
                  <c:v>nqx_i</c:v>
                </c:pt>
              </c:strCache>
            </c:strRef>
          </c:tx>
          <c:spPr>
            <a:ln cmpd="sng">
              <a:solidFill>
                <a:srgbClr val="2683C6"/>
              </a:solidFill>
            </a:ln>
          </c:spPr>
          <c:marker>
            <c:symbol val="none"/>
          </c:marker>
          <c:cat>
            <c:numRef>
              <c:f>'Decrementos Múltiples'!$B$4:$B$22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'Decrementos Múltiples'!$M$4:$M$22</c:f>
              <c:numCache>
                <c:formatCode>#,##0.0000</c:formatCode>
                <c:ptCount val="19"/>
                <c:pt idx="0">
                  <c:v>1.2396164831132928E-2</c:v>
                </c:pt>
                <c:pt idx="1">
                  <c:v>2.2867243062859588E-3</c:v>
                </c:pt>
                <c:pt idx="2">
                  <c:v>1.0693984777240262E-3</c:v>
                </c:pt>
                <c:pt idx="3">
                  <c:v>1.5028004679967788E-3</c:v>
                </c:pt>
                <c:pt idx="4">
                  <c:v>4.3482119865001501E-3</c:v>
                </c:pt>
                <c:pt idx="5">
                  <c:v>8.1087596608092616E-3</c:v>
                </c:pt>
                <c:pt idx="6">
                  <c:v>8.7928189669848056E-3</c:v>
                </c:pt>
                <c:pt idx="7">
                  <c:v>1.1037999999999992E-2</c:v>
                </c:pt>
                <c:pt idx="8">
                  <c:v>1.2855999999999979E-2</c:v>
                </c:pt>
                <c:pt idx="9">
                  <c:v>1.7657000000000034E-2</c:v>
                </c:pt>
                <c:pt idx="10">
                  <c:v>2.4418000000000051E-2</c:v>
                </c:pt>
                <c:pt idx="11">
                  <c:v>3.1725379945917287E-2</c:v>
                </c:pt>
                <c:pt idx="12">
                  <c:v>4.6932625432184905E-2</c:v>
                </c:pt>
                <c:pt idx="13">
                  <c:v>6.3889387807339659E-2</c:v>
                </c:pt>
                <c:pt idx="14">
                  <c:v>8.7879255891096686E-2</c:v>
                </c:pt>
                <c:pt idx="15">
                  <c:v>0.12950481951957049</c:v>
                </c:pt>
                <c:pt idx="16">
                  <c:v>0.18678241060029732</c:v>
                </c:pt>
                <c:pt idx="17">
                  <c:v>0.29575243996180678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B9-4C8D-A1A2-095788EF4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733113"/>
        <c:axId val="33690205"/>
      </c:lineChart>
      <c:catAx>
        <c:axId val="815733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MX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690205"/>
        <c:crosses val="autoZero"/>
        <c:auto val="1"/>
        <c:lblAlgn val="ctr"/>
        <c:lblOffset val="100"/>
        <c:noMultiLvlLbl val="1"/>
      </c:catAx>
      <c:valAx>
        <c:axId val="33690205"/>
        <c:scaling>
          <c:logBase val="10"/>
          <c:orientation val="minMax"/>
          <c:max val="1"/>
          <c:min val="8.0000000000000026E-4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MX" b="0">
                    <a:solidFill>
                      <a:srgbClr val="000000"/>
                    </a:solidFill>
                    <a:latin typeface="+mn-lt"/>
                  </a:rPr>
                  <a:t>nqx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5733113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b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Esperanza de vida al nacer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'Decrementos Múltiples'!$Z$27</c:f>
              <c:strCache>
                <c:ptCount val="1"/>
                <c:pt idx="0">
                  <c:v>Sin homicidios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Múltiples'!$AA$27:$AB$27</c:f>
              <c:numCache>
                <c:formatCode>0.00</c:formatCode>
                <c:ptCount val="2"/>
                <c:pt idx="0">
                  <c:v>75.443717300645446</c:v>
                </c:pt>
                <c:pt idx="1">
                  <c:v>90.010100552628543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81-420F-96A9-BD38FC2E92F7}"/>
            </c:ext>
          </c:extLst>
        </c:ser>
        <c:ser>
          <c:idx val="1"/>
          <c:order val="1"/>
          <c:tx>
            <c:strRef>
              <c:f>'Decrementos Múltiples'!$Z$28</c:f>
              <c:strCache>
                <c:ptCount val="1"/>
                <c:pt idx="0">
                  <c:v>Con homicidios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'Decrementos Múltiples'!$AA$26:$AB$26</c:f>
              <c:strCache>
                <c:ptCount val="2"/>
                <c:pt idx="0">
                  <c:v>Hombres</c:v>
                </c:pt>
                <c:pt idx="1">
                  <c:v>Mujeres</c:v>
                </c:pt>
              </c:strCache>
            </c:strRef>
          </c:cat>
          <c:val>
            <c:numRef>
              <c:f>'Decrementos Múltiples'!$AA$28:$AB$28</c:f>
              <c:numCache>
                <c:formatCode>0.00</c:formatCode>
                <c:ptCount val="2"/>
                <c:pt idx="0">
                  <c:v>75.19</c:v>
                </c:pt>
                <c:pt idx="1">
                  <c:v>80.69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81-420F-96A9-BD38FC2E9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5771184"/>
        <c:axId val="1065771544"/>
      </c:barChart>
      <c:catAx>
        <c:axId val="106577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71544"/>
        <c:crosses val="autoZero"/>
        <c:auto val="1"/>
        <c:lblAlgn val="ctr"/>
        <c:lblOffset val="100"/>
        <c:noMultiLvlLbl val="0"/>
      </c:catAx>
      <c:valAx>
        <c:axId val="1065771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06577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2.xml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29</xdr:col>
      <xdr:colOff>41276</xdr:colOff>
      <xdr:row>2</xdr:row>
      <xdr:rowOff>9715</xdr:rowOff>
    </xdr:from>
    <xdr:ext cx="5696712" cy="4636008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907D68DC-3A2F-4D6B-BCB3-5E077A756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349250</xdr:colOff>
      <xdr:row>25</xdr:row>
      <xdr:rowOff>66675</xdr:rowOff>
    </xdr:from>
    <xdr:ext cx="323850" cy="266700"/>
    <xdr:pic>
      <xdr:nvPicPr>
        <xdr:cNvPr id="4" name="image9.png" title="Image">
          <a:extLst>
            <a:ext uri="{FF2B5EF4-FFF2-40B4-BE49-F238E27FC236}">
              <a16:creationId xmlns:a16="http://schemas.microsoft.com/office/drawing/2014/main" id="{62F14DFD-C22E-4DAC-B081-4B26FE47000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7500" y="8905875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25</xdr:row>
      <xdr:rowOff>71438</xdr:rowOff>
    </xdr:from>
    <xdr:ext cx="171450" cy="257175"/>
    <xdr:pic>
      <xdr:nvPicPr>
        <xdr:cNvPr id="5" name="image8.png" title="Image">
          <a:extLst>
            <a:ext uri="{FF2B5EF4-FFF2-40B4-BE49-F238E27FC236}">
              <a16:creationId xmlns:a16="http://schemas.microsoft.com/office/drawing/2014/main" id="{32B2E5BB-EE82-448C-9D62-705DD4ABE173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77000" y="8910638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25</xdr:row>
      <xdr:rowOff>71438</xdr:rowOff>
    </xdr:from>
    <xdr:ext cx="381000" cy="257175"/>
    <xdr:pic>
      <xdr:nvPicPr>
        <xdr:cNvPr id="6" name="image6.png" title="Image">
          <a:extLst>
            <a:ext uri="{FF2B5EF4-FFF2-40B4-BE49-F238E27FC236}">
              <a16:creationId xmlns:a16="http://schemas.microsoft.com/office/drawing/2014/main" id="{394074CB-6772-4BC2-8182-8E0BF99F78D8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3723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330200</xdr:colOff>
      <xdr:row>25</xdr:row>
      <xdr:rowOff>71438</xdr:rowOff>
    </xdr:from>
    <xdr:ext cx="381000" cy="257175"/>
    <xdr:pic>
      <xdr:nvPicPr>
        <xdr:cNvPr id="7" name="image7.png" title="Image">
          <a:extLst>
            <a:ext uri="{FF2B5EF4-FFF2-40B4-BE49-F238E27FC236}">
              <a16:creationId xmlns:a16="http://schemas.microsoft.com/office/drawing/2014/main" id="{97E4CD43-562A-4B83-9C40-7D986CEAD15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17050" y="8910638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330200</xdr:colOff>
      <xdr:row>25</xdr:row>
      <xdr:rowOff>71438</xdr:rowOff>
    </xdr:from>
    <xdr:ext cx="352425" cy="2571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67506604-F8DF-4EFA-9338-AE628DEDFB53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6700" y="8910638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292100</xdr:colOff>
      <xdr:row>25</xdr:row>
      <xdr:rowOff>66675</xdr:rowOff>
    </xdr:from>
    <xdr:ext cx="476250" cy="266700"/>
    <xdr:pic>
      <xdr:nvPicPr>
        <xdr:cNvPr id="9" name="image5.png" title="Image">
          <a:extLst>
            <a:ext uri="{FF2B5EF4-FFF2-40B4-BE49-F238E27FC236}">
              <a16:creationId xmlns:a16="http://schemas.microsoft.com/office/drawing/2014/main" id="{4C4FB073-EADC-424A-8DE9-74BD940D5431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3982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292100</xdr:colOff>
      <xdr:row>25</xdr:row>
      <xdr:rowOff>66675</xdr:rowOff>
    </xdr:from>
    <xdr:ext cx="390525" cy="266700"/>
    <xdr:pic>
      <xdr:nvPicPr>
        <xdr:cNvPr id="10" name="image4.png" title="Image">
          <a:extLst>
            <a:ext uri="{FF2B5EF4-FFF2-40B4-BE49-F238E27FC236}">
              <a16:creationId xmlns:a16="http://schemas.microsoft.com/office/drawing/2014/main" id="{24E9E00B-23BE-478D-AF45-8E81B9A04B17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17550" y="8905875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292100</xdr:colOff>
      <xdr:row>25</xdr:row>
      <xdr:rowOff>66675</xdr:rowOff>
    </xdr:from>
    <xdr:ext cx="476250" cy="2667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DF701539-5FB2-443D-8911-796233E00C8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36850" y="8905875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254000</xdr:colOff>
      <xdr:row>25</xdr:row>
      <xdr:rowOff>66675</xdr:rowOff>
    </xdr:from>
    <xdr:ext cx="428625" cy="266700"/>
    <xdr:pic>
      <xdr:nvPicPr>
        <xdr:cNvPr id="12" name="image1.png" title="Image">
          <a:extLst>
            <a:ext uri="{FF2B5EF4-FFF2-40B4-BE49-F238E27FC236}">
              <a16:creationId xmlns:a16="http://schemas.microsoft.com/office/drawing/2014/main" id="{483626A5-AC5B-475B-BB8C-FB916DF4C699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27700" y="8905875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342900</xdr:colOff>
      <xdr:row>2</xdr:row>
      <xdr:rowOff>74613</xdr:rowOff>
    </xdr:from>
    <xdr:ext cx="381000" cy="257175"/>
    <xdr:pic>
      <xdr:nvPicPr>
        <xdr:cNvPr id="21" name="image7.png" title="Image">
          <a:extLst>
            <a:ext uri="{FF2B5EF4-FFF2-40B4-BE49-F238E27FC236}">
              <a16:creationId xmlns:a16="http://schemas.microsoft.com/office/drawing/2014/main" id="{FEE9362B-FF64-4042-8720-BF165B366DBC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942975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2</xdr:row>
      <xdr:rowOff>74613</xdr:rowOff>
    </xdr:from>
    <xdr:ext cx="352425" cy="2571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D35AEE4F-A816-47A8-833B-CBD8D971F2BE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01300" y="4678363"/>
          <a:ext cx="352425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381000</xdr:colOff>
      <xdr:row>2</xdr:row>
      <xdr:rowOff>69850</xdr:rowOff>
    </xdr:from>
    <xdr:ext cx="323850" cy="266700"/>
    <xdr:pic>
      <xdr:nvPicPr>
        <xdr:cNvPr id="23" name="image9.png" title="Image">
          <a:extLst>
            <a:ext uri="{FF2B5EF4-FFF2-40B4-BE49-F238E27FC236}">
              <a16:creationId xmlns:a16="http://schemas.microsoft.com/office/drawing/2014/main" id="{ECC0C04A-E846-4C30-AB5C-CD8029BA731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29250" y="4673600"/>
          <a:ext cx="3238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374650</xdr:colOff>
      <xdr:row>2</xdr:row>
      <xdr:rowOff>74613</xdr:rowOff>
    </xdr:from>
    <xdr:ext cx="171450" cy="257175"/>
    <xdr:pic>
      <xdr:nvPicPr>
        <xdr:cNvPr id="24" name="image8.png" title="Image">
          <a:extLst>
            <a:ext uri="{FF2B5EF4-FFF2-40B4-BE49-F238E27FC236}">
              <a16:creationId xmlns:a16="http://schemas.microsoft.com/office/drawing/2014/main" id="{7A4E09CD-76D2-4AA7-A119-024246666E3B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432550" y="4678363"/>
          <a:ext cx="17145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349250</xdr:colOff>
      <xdr:row>2</xdr:row>
      <xdr:rowOff>74613</xdr:rowOff>
    </xdr:from>
    <xdr:ext cx="381000" cy="257175"/>
    <xdr:pic>
      <xdr:nvPicPr>
        <xdr:cNvPr id="25" name="image6.png" title="Image">
          <a:extLst>
            <a:ext uri="{FF2B5EF4-FFF2-40B4-BE49-F238E27FC236}">
              <a16:creationId xmlns:a16="http://schemas.microsoft.com/office/drawing/2014/main" id="{6ADC55F1-87D6-42F6-A9AB-AF328FF6EC4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416800" y="4678363"/>
          <a:ext cx="381000" cy="25717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317500</xdr:colOff>
      <xdr:row>2</xdr:row>
      <xdr:rowOff>57150</xdr:rowOff>
    </xdr:from>
    <xdr:ext cx="476250" cy="266700"/>
    <xdr:pic>
      <xdr:nvPicPr>
        <xdr:cNvPr id="26" name="image5.png" title="Image">
          <a:extLst>
            <a:ext uri="{FF2B5EF4-FFF2-40B4-BE49-F238E27FC236}">
              <a16:creationId xmlns:a16="http://schemas.microsoft.com/office/drawing/2014/main" id="{CEA44CE0-1B71-444A-A5AD-5E752608E4FA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14236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342900</xdr:colOff>
      <xdr:row>2</xdr:row>
      <xdr:rowOff>57150</xdr:rowOff>
    </xdr:from>
    <xdr:ext cx="390525" cy="266700"/>
    <xdr:pic>
      <xdr:nvPicPr>
        <xdr:cNvPr id="27" name="image4.png" title="Image">
          <a:extLst>
            <a:ext uri="{FF2B5EF4-FFF2-40B4-BE49-F238E27FC236}">
              <a16:creationId xmlns:a16="http://schemas.microsoft.com/office/drawing/2014/main" id="{4B277884-2740-4CD9-A27E-2B95F5C0F7F5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3468350" y="4660900"/>
          <a:ext cx="3905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317500</xdr:colOff>
      <xdr:row>2</xdr:row>
      <xdr:rowOff>57150</xdr:rowOff>
    </xdr:from>
    <xdr:ext cx="476250" cy="266700"/>
    <xdr:pic>
      <xdr:nvPicPr>
        <xdr:cNvPr id="28" name="image3.png" title="Image">
          <a:extLst>
            <a:ext uri="{FF2B5EF4-FFF2-40B4-BE49-F238E27FC236}">
              <a16:creationId xmlns:a16="http://schemas.microsoft.com/office/drawing/2014/main" id="{41BFA287-2D2E-447E-8E03-207628D8F9D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5462250" y="4660900"/>
          <a:ext cx="476250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317500</xdr:colOff>
      <xdr:row>2</xdr:row>
      <xdr:rowOff>57150</xdr:rowOff>
    </xdr:from>
    <xdr:ext cx="428625" cy="266700"/>
    <xdr:pic>
      <xdr:nvPicPr>
        <xdr:cNvPr id="29" name="image1.png" title="Image">
          <a:extLst>
            <a:ext uri="{FF2B5EF4-FFF2-40B4-BE49-F238E27FC236}">
              <a16:creationId xmlns:a16="http://schemas.microsoft.com/office/drawing/2014/main" id="{91284A07-7E89-4C08-BE19-E1EB5039FE86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8491200" y="4660900"/>
          <a:ext cx="428625" cy="2667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841374</xdr:colOff>
      <xdr:row>2</xdr:row>
      <xdr:rowOff>0</xdr:rowOff>
    </xdr:from>
    <xdr:ext cx="5699126" cy="4635500"/>
    <xdr:graphicFrame macro="">
      <xdr:nvGraphicFramePr>
        <xdr:cNvPr id="30" name="Chart 2" title="Chart">
          <a:extLst>
            <a:ext uri="{FF2B5EF4-FFF2-40B4-BE49-F238E27FC236}">
              <a16:creationId xmlns:a16="http://schemas.microsoft.com/office/drawing/2014/main" id="{63C062C1-7608-4B83-82B7-4ACA64A82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  <xdr:twoCellAnchor>
    <xdr:from>
      <xdr:col>26</xdr:col>
      <xdr:colOff>506940</xdr:colOff>
      <xdr:row>29</xdr:row>
      <xdr:rowOff>38100</xdr:rowOff>
    </xdr:from>
    <xdr:to>
      <xdr:col>32</xdr:col>
      <xdr:colOff>736600</xdr:colOff>
      <xdr:row>44</xdr:row>
      <xdr:rowOff>177801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7F61450-812D-4B8D-9663-F686FF4E61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descolmex-my.sharepoint.com/personal/agpena_colmex_mx/Documents/DEP_22_26/2do%20semestre/Demograf&#237;a%20Matem&#225;tica/Tareas/4.%20TV-COVID-2020.xlsx" TargetMode="External"/><Relationship Id="rId1" Type="http://schemas.openxmlformats.org/officeDocument/2006/relationships/externalLinkPath" Target="https://redescolmex-my.sharepoint.com/personal/agpena_colmex_mx/Documents/DEP_22_26/7mo%20semestre/UNAM/Ejercicios/Excel/4.%20TV-COVID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D"/>
      <sheetName val="COVID"/>
      <sheetName val="EQ"/>
      <sheetName val="Defunciones"/>
      <sheetName val="TV"/>
    </sheetNames>
    <sheetDataSet>
      <sheetData sheetId="0"/>
      <sheetData sheetId="1">
        <row r="9">
          <cell r="B9">
            <v>208</v>
          </cell>
        </row>
      </sheetData>
      <sheetData sheetId="2"/>
      <sheetData sheetId="3">
        <row r="4">
          <cell r="D4">
            <v>19352</v>
          </cell>
        </row>
      </sheetData>
      <sheetData sheetId="4">
        <row r="4">
          <cell r="G4">
            <v>0.1</v>
          </cell>
        </row>
        <row r="29">
          <cell r="J29">
            <v>100000</v>
          </cell>
          <cell r="M29">
            <v>7544359.8487192011</v>
          </cell>
        </row>
        <row r="47">
          <cell r="M47">
            <v>211789.8627602226</v>
          </cell>
        </row>
        <row r="53">
          <cell r="J53">
            <v>100000</v>
          </cell>
          <cell r="M53">
            <v>6731814.3256840678</v>
          </cell>
        </row>
        <row r="71">
          <cell r="M71">
            <v>91674.680789131889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emographicestimation.iussp.org/content/indirect-estimation-child-mortalit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showGridLines="0" showRowColHeaders="0" topLeftCell="A4" workbookViewId="0">
      <selection activeCell="A4" sqref="A4:B4"/>
    </sheetView>
  </sheetViews>
  <sheetFormatPr baseColWidth="10" defaultColWidth="8.77734375" defaultRowHeight="15.6" x14ac:dyDescent="0.3"/>
  <cols>
    <col min="1" max="1" width="4" customWidth="1"/>
    <col min="2" max="2" width="75.109375" customWidth="1"/>
    <col min="3" max="3" width="27.77734375" style="7" customWidth="1"/>
    <col min="4" max="5" width="8.44140625" style="7" customWidth="1"/>
    <col min="6" max="6" width="8.77734375" style="7" customWidth="1"/>
  </cols>
  <sheetData>
    <row r="1" spans="1:6" ht="41.25" customHeight="1" x14ac:dyDescent="0.3">
      <c r="A1" s="156" t="s">
        <v>78</v>
      </c>
      <c r="B1" s="157"/>
    </row>
    <row r="3" spans="1:6" x14ac:dyDescent="0.3">
      <c r="A3" s="11" t="s">
        <v>67</v>
      </c>
      <c r="B3" s="11"/>
    </row>
    <row r="4" spans="1:6" x14ac:dyDescent="0.3">
      <c r="A4" s="165" t="s">
        <v>91</v>
      </c>
      <c r="B4" s="166"/>
      <c r="C4" s="18"/>
    </row>
    <row r="5" spans="1:6" x14ac:dyDescent="0.3">
      <c r="A5" s="1"/>
      <c r="B5" s="2"/>
    </row>
    <row r="6" spans="1:6" ht="50.25" customHeight="1" x14ac:dyDescent="0.3">
      <c r="A6" s="158" t="s">
        <v>69</v>
      </c>
      <c r="B6" s="158"/>
    </row>
    <row r="7" spans="1:6" x14ac:dyDescent="0.3">
      <c r="A7" s="1"/>
      <c r="B7" s="2"/>
    </row>
    <row r="8" spans="1:6" ht="16.2" thickBot="1" x14ac:dyDescent="0.35">
      <c r="A8" s="3" t="s">
        <v>68</v>
      </c>
      <c r="B8" s="2"/>
    </row>
    <row r="9" spans="1:6" x14ac:dyDescent="0.3">
      <c r="A9" s="4">
        <v>1</v>
      </c>
      <c r="B9" s="5" t="s">
        <v>70</v>
      </c>
      <c r="C9" s="8" t="s">
        <v>50</v>
      </c>
      <c r="D9" s="146" t="s">
        <v>94</v>
      </c>
      <c r="E9" s="146"/>
      <c r="F9" s="147" t="s">
        <v>66</v>
      </c>
    </row>
    <row r="10" spans="1:6" x14ac:dyDescent="0.3">
      <c r="A10" s="6"/>
      <c r="B10" s="2"/>
      <c r="C10" s="9"/>
      <c r="D10" s="148"/>
      <c r="E10" s="148"/>
      <c r="F10" s="149"/>
    </row>
    <row r="11" spans="1:6" ht="16.2" thickBot="1" x14ac:dyDescent="0.35">
      <c r="A11" s="2">
        <v>2</v>
      </c>
      <c r="B11" s="2" t="s">
        <v>71</v>
      </c>
      <c r="C11" s="10" t="s">
        <v>49</v>
      </c>
      <c r="D11" s="150">
        <v>43891</v>
      </c>
      <c r="E11" s="150"/>
      <c r="F11" s="151">
        <v>39617</v>
      </c>
    </row>
    <row r="12" spans="1:6" x14ac:dyDescent="0.3">
      <c r="A12" s="6"/>
      <c r="B12" s="2"/>
    </row>
    <row r="13" spans="1:6" ht="16.2" thickBot="1" x14ac:dyDescent="0.35">
      <c r="A13" s="6"/>
      <c r="B13" s="2"/>
    </row>
    <row r="14" spans="1:6" ht="16.2" thickBot="1" x14ac:dyDescent="0.35">
      <c r="A14" s="5">
        <v>3</v>
      </c>
      <c r="B14" s="2" t="s">
        <v>77</v>
      </c>
      <c r="C14" s="12" t="s">
        <v>73</v>
      </c>
      <c r="D14" s="152" t="s">
        <v>26</v>
      </c>
      <c r="E14" s="152"/>
      <c r="F14" s="153"/>
    </row>
    <row r="16" spans="1:6" ht="16.2" thickBot="1" x14ac:dyDescent="0.35">
      <c r="D16" s="14"/>
      <c r="E16" s="14"/>
      <c r="F16" s="14"/>
    </row>
    <row r="17" spans="1:6" x14ac:dyDescent="0.3">
      <c r="A17" s="1">
        <v>4</v>
      </c>
      <c r="B17" s="2" t="s">
        <v>72</v>
      </c>
      <c r="C17" s="8" t="s">
        <v>74</v>
      </c>
      <c r="D17" s="154" t="s">
        <v>7</v>
      </c>
      <c r="E17" s="154"/>
      <c r="F17" s="155"/>
    </row>
    <row r="18" spans="1:6" x14ac:dyDescent="0.3">
      <c r="C18" s="9" t="s">
        <v>75</v>
      </c>
      <c r="D18" s="159" t="s">
        <v>44</v>
      </c>
      <c r="E18" s="159"/>
      <c r="F18" s="160"/>
    </row>
    <row r="19" spans="1:6" ht="7.5" customHeight="1" x14ac:dyDescent="0.3">
      <c r="C19" s="13"/>
      <c r="F19" s="17"/>
    </row>
    <row r="20" spans="1:6" x14ac:dyDescent="0.3">
      <c r="C20" s="15" t="s">
        <v>54</v>
      </c>
      <c r="D20" s="163" t="s">
        <v>57</v>
      </c>
      <c r="E20" s="163"/>
      <c r="F20" s="164"/>
    </row>
    <row r="21" spans="1:6" ht="16.2" thickBot="1" x14ac:dyDescent="0.35">
      <c r="C21" s="16" t="s">
        <v>61</v>
      </c>
      <c r="D21" s="161">
        <v>28</v>
      </c>
      <c r="E21" s="161"/>
      <c r="F21" s="162"/>
    </row>
    <row r="23" spans="1:6" ht="30.75" customHeight="1" x14ac:dyDescent="0.3">
      <c r="A23" s="25">
        <v>5</v>
      </c>
      <c r="B23" s="2" t="s">
        <v>92</v>
      </c>
      <c r="C23" s="145" t="str">
        <f>IF(ISNA(VLOOKUP(VALUE(RIGHT(Coefficients!AM5,3)),Coefficients!$AI$34:$AI$50,1,FALSE)),"INVALID SELECTION - Please ensure that your choice of variant; family and pattern are consistent.","")</f>
        <v/>
      </c>
      <c r="D23" s="145"/>
      <c r="E23" s="145"/>
      <c r="F23" s="145"/>
    </row>
    <row r="24" spans="1:6" x14ac:dyDescent="0.3">
      <c r="A24" s="1"/>
      <c r="B24" s="2"/>
      <c r="C24" s="19"/>
      <c r="D24" s="19"/>
      <c r="E24" s="19"/>
      <c r="F24" s="19"/>
    </row>
    <row r="25" spans="1:6" ht="30.6" x14ac:dyDescent="0.3">
      <c r="A25" s="25">
        <v>6</v>
      </c>
      <c r="B25" s="2" t="s">
        <v>93</v>
      </c>
      <c r="C25" s="19"/>
      <c r="D25" s="19"/>
      <c r="E25" s="19"/>
      <c r="F25" s="19"/>
    </row>
    <row r="26" spans="1:6" x14ac:dyDescent="0.3">
      <c r="A26" s="1"/>
      <c r="B26" s="2"/>
    </row>
    <row r="27" spans="1:6" x14ac:dyDescent="0.3">
      <c r="A27" s="3" t="s">
        <v>79</v>
      </c>
      <c r="B27" s="2"/>
    </row>
    <row r="28" spans="1:6" ht="31.2" x14ac:dyDescent="0.3">
      <c r="A28" s="1"/>
      <c r="B28" s="2" t="s">
        <v>80</v>
      </c>
    </row>
    <row r="29" spans="1:6" ht="31.2" x14ac:dyDescent="0.3">
      <c r="A29" s="1"/>
      <c r="B29" s="2" t="s">
        <v>81</v>
      </c>
    </row>
    <row r="30" spans="1:6" x14ac:dyDescent="0.3">
      <c r="A30" s="1"/>
      <c r="B30" s="2"/>
    </row>
    <row r="31" spans="1:6" x14ac:dyDescent="0.3">
      <c r="A31" s="1"/>
      <c r="B31" s="2"/>
    </row>
    <row r="32" spans="1:6" x14ac:dyDescent="0.3">
      <c r="A32" s="1"/>
      <c r="B32" s="2"/>
    </row>
    <row r="33" spans="1:2" x14ac:dyDescent="0.3">
      <c r="A33" s="1"/>
      <c r="B33" s="2"/>
    </row>
    <row r="34" spans="1:2" x14ac:dyDescent="0.3">
      <c r="A34" s="1"/>
      <c r="B34" s="2"/>
    </row>
    <row r="35" spans="1:2" x14ac:dyDescent="0.3">
      <c r="A35" s="1"/>
      <c r="B35" s="2"/>
    </row>
  </sheetData>
  <sheetProtection sheet="1" objects="1" scenarios="1" selectLockedCells="1"/>
  <mergeCells count="12">
    <mergeCell ref="A1:B1"/>
    <mergeCell ref="A6:B6"/>
    <mergeCell ref="D18:F18"/>
    <mergeCell ref="D21:F21"/>
    <mergeCell ref="D20:F20"/>
    <mergeCell ref="A4:B4"/>
    <mergeCell ref="C23:F23"/>
    <mergeCell ref="D9:F9"/>
    <mergeCell ref="D10:F10"/>
    <mergeCell ref="D11:F11"/>
    <mergeCell ref="D14:F14"/>
    <mergeCell ref="D17:F17"/>
  </mergeCells>
  <conditionalFormatting sqref="C21:D21">
    <cfRule type="expression" dxfId="0" priority="1">
      <formula>FamSelect=1</formula>
    </cfRule>
  </conditionalFormatting>
  <dataValidations xWindow="930" yWindow="429" count="7">
    <dataValidation type="list" allowBlank="1" showInputMessage="1" showErrorMessage="1" sqref="D17" xr:uid="{00000000-0002-0000-0000-000000000000}">
      <formula1>Family</formula1>
    </dataValidation>
    <dataValidation type="date" showInputMessage="1" showErrorMessage="1" sqref="F11" xr:uid="{00000000-0002-0000-0000-000001000000}">
      <formula1>18264</formula1>
      <formula2>54788</formula2>
    </dataValidation>
    <dataValidation type="list" allowBlank="1" showInputMessage="1" showErrorMessage="1" sqref="D20" xr:uid="{00000000-0002-0000-0000-000002000000}">
      <formula1>Sex</formula1>
    </dataValidation>
    <dataValidation type="decimal" allowBlank="1" showInputMessage="1" showErrorMessage="1" sqref="F25" xr:uid="{00000000-0002-0000-0000-000003000000}">
      <formula1>99</formula1>
      <formula2>110</formula2>
    </dataValidation>
    <dataValidation type="list" allowBlank="1" showInputMessage="1" showErrorMessage="1" promptTitle="Variant of method" prompt="Usually this is by age of mother; but models based on duration since first birth, or duration since marriage can also be fitted. The last two models can be fitted ONLY using the Princeton life tables." sqref="D14:F14" xr:uid="{00000000-0002-0000-0000-000004000000}">
      <formula1>Variant</formula1>
    </dataValidation>
    <dataValidation type="list" showInputMessage="1" showErrorMessage="1" sqref="D18:F18" xr:uid="{00000000-0002-0000-0000-000005000000}">
      <formula1>IF(FamSelect=1,Princeton,UN)</formula1>
    </dataValidation>
    <dataValidation type="list" showDropDown="1" showInputMessage="1" showErrorMessage="1" sqref="A4" xr:uid="{00000000-0002-0000-0000-000006000000}">
      <formula1>"http://demographicestimation.iussp.org/content/indirect-estimation-child-mortality"</formula1>
    </dataValidation>
  </dataValidations>
  <hyperlinks>
    <hyperlink ref="A4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01"/>
  <sheetViews>
    <sheetView topLeftCell="AE1" workbookViewId="0">
      <pane ySplit="3" topLeftCell="A4" activePane="bottomLeft" state="frozenSplit"/>
      <selection pane="bottomLeft" activeCell="AM10" sqref="AM10"/>
    </sheetView>
  </sheetViews>
  <sheetFormatPr baseColWidth="10" defaultColWidth="9.109375" defaultRowHeight="12.75" customHeight="1" x14ac:dyDescent="0.25"/>
  <cols>
    <col min="1" max="1" width="8.44140625" style="20" customWidth="1"/>
    <col min="2" max="2" width="3" style="20" bestFit="1" customWidth="1"/>
    <col min="3" max="6" width="8.44140625" style="20" customWidth="1"/>
    <col min="7" max="7" width="1.44140625" style="20" customWidth="1"/>
    <col min="8" max="10" width="8.44140625" style="20" customWidth="1"/>
    <col min="11" max="11" width="2.77734375" style="20" customWidth="1"/>
    <col min="12" max="12" width="8.44140625" style="20" bestFit="1" customWidth="1"/>
    <col min="13" max="13" width="3" style="20" bestFit="1" customWidth="1"/>
    <col min="14" max="16" width="8.44140625" style="20" customWidth="1"/>
    <col min="17" max="18" width="1.44140625" style="20" customWidth="1"/>
    <col min="19" max="21" width="8.44140625" style="20" customWidth="1"/>
    <col min="22" max="22" width="2.77734375" style="20" customWidth="1"/>
    <col min="23" max="23" width="8.44140625" style="20" bestFit="1" customWidth="1"/>
    <col min="24" max="24" width="3" style="20" bestFit="1" customWidth="1"/>
    <col min="25" max="27" width="8.44140625" style="20" customWidth="1"/>
    <col min="28" max="29" width="1.44140625" style="20" customWidth="1"/>
    <col min="30" max="32" width="8.44140625" style="20" customWidth="1"/>
    <col min="33" max="33" width="9.109375" style="20"/>
    <col min="34" max="34" width="3.109375" style="20" customWidth="1"/>
    <col min="35" max="35" width="22.77734375" style="20" bestFit="1" customWidth="1"/>
    <col min="36" max="36" width="9.109375" style="20"/>
    <col min="37" max="37" width="3.109375" style="20" customWidth="1"/>
    <col min="38" max="38" width="2" style="20" bestFit="1" customWidth="1"/>
    <col min="39" max="39" width="8.109375" style="20" customWidth="1"/>
    <col min="40" max="40" width="8.77734375" style="20" bestFit="1" customWidth="1"/>
    <col min="41" max="42" width="8.109375" style="20" customWidth="1"/>
    <col min="43" max="43" width="1.44140625" style="20" customWidth="1"/>
    <col min="44" max="46" width="8.109375" style="20" customWidth="1"/>
    <col min="47" max="16384" width="9.109375" style="20"/>
  </cols>
  <sheetData>
    <row r="1" spans="1:48" s="24" customFormat="1" ht="15" customHeight="1" x14ac:dyDescent="0.25">
      <c r="A1" s="167" t="s">
        <v>27</v>
      </c>
      <c r="B1" s="167"/>
      <c r="C1" s="167"/>
      <c r="D1" s="167"/>
      <c r="E1" s="167"/>
      <c r="F1" s="167"/>
      <c r="G1" s="167"/>
      <c r="H1" s="167"/>
      <c r="I1" s="167"/>
      <c r="J1" s="167"/>
      <c r="L1" s="167" t="s">
        <v>83</v>
      </c>
      <c r="M1" s="167"/>
      <c r="N1" s="167"/>
      <c r="O1" s="167"/>
      <c r="P1" s="167"/>
      <c r="Q1" s="167"/>
      <c r="R1" s="167"/>
      <c r="S1" s="167"/>
      <c r="T1" s="167"/>
      <c r="U1" s="167"/>
      <c r="W1" s="167" t="s">
        <v>84</v>
      </c>
      <c r="X1" s="167"/>
      <c r="Y1" s="167"/>
      <c r="Z1" s="167"/>
      <c r="AA1" s="167"/>
      <c r="AB1" s="167"/>
      <c r="AC1" s="167"/>
      <c r="AD1" s="167"/>
      <c r="AE1" s="167"/>
      <c r="AF1" s="167"/>
    </row>
    <row r="2" spans="1:48" s="24" customFormat="1" ht="15" customHeight="1" x14ac:dyDescent="0.25"/>
    <row r="3" spans="1:48" s="24" customFormat="1" ht="15" customHeight="1" x14ac:dyDescent="0.25">
      <c r="C3" s="167" t="s">
        <v>15</v>
      </c>
      <c r="D3" s="167"/>
      <c r="E3" s="167"/>
      <c r="H3" s="167" t="s">
        <v>16</v>
      </c>
      <c r="I3" s="167"/>
      <c r="J3" s="167"/>
      <c r="N3" s="167" t="s">
        <v>15</v>
      </c>
      <c r="O3" s="167"/>
      <c r="P3" s="167"/>
      <c r="S3" s="167" t="s">
        <v>16</v>
      </c>
      <c r="T3" s="167"/>
      <c r="U3" s="167"/>
      <c r="Y3" s="167" t="s">
        <v>15</v>
      </c>
      <c r="Z3" s="167"/>
      <c r="AA3" s="167"/>
      <c r="AD3" s="167" t="s">
        <v>16</v>
      </c>
      <c r="AE3" s="167"/>
      <c r="AF3" s="167"/>
    </row>
    <row r="4" spans="1:48" s="24" customFormat="1" ht="15" customHeight="1" x14ac:dyDescent="0.25">
      <c r="A4" s="167" t="s">
        <v>17</v>
      </c>
      <c r="B4" s="167"/>
      <c r="C4" s="167"/>
      <c r="D4" s="167"/>
      <c r="E4" s="167"/>
      <c r="F4" s="167"/>
      <c r="G4" s="167"/>
      <c r="H4" s="167"/>
      <c r="I4" s="167"/>
      <c r="J4" s="168"/>
      <c r="L4" s="34"/>
      <c r="M4" s="47"/>
      <c r="N4" s="170" t="s">
        <v>17</v>
      </c>
      <c r="O4" s="170"/>
      <c r="P4" s="170"/>
      <c r="Q4" s="170"/>
      <c r="R4" s="170"/>
      <c r="S4" s="170"/>
      <c r="T4" s="170"/>
      <c r="U4" s="171"/>
      <c r="W4" s="34"/>
      <c r="X4" s="47"/>
      <c r="Y4" s="170" t="s">
        <v>17</v>
      </c>
      <c r="Z4" s="170"/>
      <c r="AA4" s="170"/>
      <c r="AB4" s="170"/>
      <c r="AC4" s="170"/>
      <c r="AD4" s="170"/>
      <c r="AE4" s="170"/>
      <c r="AF4" s="171"/>
      <c r="AG4" s="30"/>
      <c r="AM4" s="31"/>
      <c r="AN4" s="31"/>
      <c r="AO4" s="31"/>
      <c r="AP4" s="32"/>
      <c r="AQ4" s="33"/>
      <c r="AR4" s="31"/>
      <c r="AS4" s="31"/>
      <c r="AT4" s="31"/>
    </row>
    <row r="5" spans="1:48" s="24" customFormat="1" ht="15" customHeight="1" x14ac:dyDescent="0.25">
      <c r="A5" s="51" t="s">
        <v>53</v>
      </c>
      <c r="B5" s="52" t="s">
        <v>28</v>
      </c>
      <c r="C5" s="26" t="s">
        <v>8</v>
      </c>
      <c r="D5" s="26" t="s">
        <v>9</v>
      </c>
      <c r="E5" s="26" t="s">
        <v>10</v>
      </c>
      <c r="F5" s="26" t="s">
        <v>11</v>
      </c>
      <c r="G5" s="26"/>
      <c r="H5" s="26" t="s">
        <v>12</v>
      </c>
      <c r="I5" s="26" t="s">
        <v>13</v>
      </c>
      <c r="J5" s="53" t="s">
        <v>14</v>
      </c>
      <c r="L5" s="51" t="s">
        <v>82</v>
      </c>
      <c r="M5" s="52" t="s">
        <v>28</v>
      </c>
      <c r="N5" s="26" t="s">
        <v>8</v>
      </c>
      <c r="O5" s="26" t="s">
        <v>9</v>
      </c>
      <c r="P5" s="26" t="s">
        <v>10</v>
      </c>
      <c r="Q5" s="26"/>
      <c r="R5" s="26"/>
      <c r="S5" s="26" t="s">
        <v>12</v>
      </c>
      <c r="T5" s="26" t="s">
        <v>13</v>
      </c>
      <c r="U5" s="53" t="s">
        <v>14</v>
      </c>
      <c r="W5" s="51" t="s">
        <v>82</v>
      </c>
      <c r="X5" s="52" t="s">
        <v>28</v>
      </c>
      <c r="Y5" s="26" t="s">
        <v>8</v>
      </c>
      <c r="Z5" s="26" t="s">
        <v>9</v>
      </c>
      <c r="AA5" s="26" t="s">
        <v>10</v>
      </c>
      <c r="AB5" s="26"/>
      <c r="AC5" s="26"/>
      <c r="AD5" s="26" t="s">
        <v>12</v>
      </c>
      <c r="AE5" s="26" t="s">
        <v>13</v>
      </c>
      <c r="AF5" s="53" t="s">
        <v>14</v>
      </c>
      <c r="AH5" s="169" t="str">
        <f>Introduction!D9&amp;" "&amp;TEXT(YEAR(Introduction!D11),"####")</f>
        <v>México 2020</v>
      </c>
      <c r="AI5" s="169"/>
      <c r="AJ5" s="169"/>
      <c r="AL5" s="20"/>
      <c r="AM5" s="167" t="str">
        <f>"Coeffs_"&amp;TEXT(100*AJ8+10*AJ12+AJ23,0)</f>
        <v>Coeffs_141</v>
      </c>
      <c r="AN5" s="167"/>
      <c r="AO5" s="167"/>
      <c r="AP5" s="167"/>
      <c r="AQ5" s="167"/>
      <c r="AR5" s="167"/>
      <c r="AS5" s="167"/>
      <c r="AT5" s="167"/>
      <c r="AU5" s="167"/>
      <c r="AV5" s="167"/>
    </row>
    <row r="6" spans="1:48" ht="12.75" customHeight="1" x14ac:dyDescent="0.25">
      <c r="A6" s="36" t="s">
        <v>0</v>
      </c>
      <c r="B6" s="20">
        <v>1</v>
      </c>
      <c r="C6" s="20">
        <v>1.1119000000000001</v>
      </c>
      <c r="D6" s="20">
        <v>-2.9287000000000001</v>
      </c>
      <c r="E6" s="20">
        <v>0.85070000000000001</v>
      </c>
      <c r="H6" s="21">
        <v>1.0921000000000001</v>
      </c>
      <c r="I6" s="21">
        <v>5.4732000000000003</v>
      </c>
      <c r="J6" s="37">
        <v>-1.9672000000000001</v>
      </c>
      <c r="L6" s="36" t="s">
        <v>29</v>
      </c>
      <c r="M6" s="20">
        <v>2</v>
      </c>
      <c r="N6" s="21">
        <v>1.198</v>
      </c>
      <c r="O6" s="21">
        <v>-0.12659999999999999</v>
      </c>
      <c r="P6" s="21">
        <v>3.8E-3</v>
      </c>
      <c r="Q6" s="21"/>
      <c r="S6" s="21">
        <v>1.71</v>
      </c>
      <c r="T6" s="21">
        <v>1.07</v>
      </c>
      <c r="U6" s="37">
        <v>-0.35</v>
      </c>
      <c r="W6" s="36" t="s">
        <v>29</v>
      </c>
      <c r="X6" s="20">
        <v>2</v>
      </c>
      <c r="Y6" s="20">
        <v>1.2615000000000001</v>
      </c>
      <c r="Z6" s="20">
        <v>-0.53400000000000003</v>
      </c>
      <c r="AA6" s="20">
        <v>0.12520000000000001</v>
      </c>
      <c r="AD6" s="20">
        <v>1.0310999999999999</v>
      </c>
      <c r="AE6" s="20">
        <v>1.3149</v>
      </c>
      <c r="AF6" s="42">
        <v>-0.32819999999999999</v>
      </c>
      <c r="AH6" s="54" t="s">
        <v>49</v>
      </c>
      <c r="AI6" s="54"/>
      <c r="AJ6" s="58">
        <f>YEAR(Introduction!D11)+YEARFRAC(DATE(YEAR(Introduction!D11)-1,12,31), Introduction!D11,1)</f>
        <v>2020.1666666666667</v>
      </c>
      <c r="AL6" s="45"/>
      <c r="AM6" s="59">
        <v>0</v>
      </c>
      <c r="AN6" s="60">
        <v>1</v>
      </c>
      <c r="AO6" s="61">
        <v>2</v>
      </c>
      <c r="AP6" s="61">
        <v>3</v>
      </c>
      <c r="AQ6" s="61"/>
      <c r="AR6" s="61">
        <v>5</v>
      </c>
      <c r="AS6" s="61">
        <v>6</v>
      </c>
      <c r="AT6" s="61">
        <v>7</v>
      </c>
      <c r="AU6" s="45"/>
      <c r="AV6" s="45" t="s">
        <v>51</v>
      </c>
    </row>
    <row r="7" spans="1:48" ht="12.75" customHeight="1" x14ac:dyDescent="0.25">
      <c r="A7" s="36" t="s">
        <v>1</v>
      </c>
      <c r="B7" s="20">
        <v>2</v>
      </c>
      <c r="C7" s="20">
        <v>1.2390000000000001</v>
      </c>
      <c r="D7" s="20">
        <v>-0.6865</v>
      </c>
      <c r="E7" s="20">
        <v>-0.27450000000000002</v>
      </c>
      <c r="H7" s="21">
        <v>1.3207</v>
      </c>
      <c r="I7" s="21">
        <v>5.3750999999999998</v>
      </c>
      <c r="J7" s="37">
        <v>0.21329999999999999</v>
      </c>
      <c r="L7" s="36" t="s">
        <v>30</v>
      </c>
      <c r="M7" s="20">
        <v>5</v>
      </c>
      <c r="N7" s="21">
        <v>1.2248000000000001</v>
      </c>
      <c r="O7" s="21">
        <v>-0.19189999999999999</v>
      </c>
      <c r="P7" s="21">
        <v>-8.6999999999999994E-2</v>
      </c>
      <c r="Q7" s="21"/>
      <c r="S7" s="21">
        <v>2.16</v>
      </c>
      <c r="T7" s="21">
        <v>4.3600000000000003</v>
      </c>
      <c r="U7" s="37">
        <v>0.12</v>
      </c>
      <c r="W7" s="36" t="s">
        <v>30</v>
      </c>
      <c r="X7" s="20">
        <v>3</v>
      </c>
      <c r="Y7" s="20">
        <v>1.1957</v>
      </c>
      <c r="Z7" s="20">
        <v>-0.4103</v>
      </c>
      <c r="AA7" s="20">
        <v>-9.2999999999999999E-2</v>
      </c>
      <c r="AD7" s="20">
        <v>1.6963999999999999</v>
      </c>
      <c r="AE7" s="20">
        <v>4.5147000000000004</v>
      </c>
      <c r="AF7" s="42">
        <v>-1.6E-2</v>
      </c>
      <c r="AH7" s="54"/>
      <c r="AI7" s="54"/>
      <c r="AJ7" s="54"/>
      <c r="AL7" s="20">
        <v>0</v>
      </c>
      <c r="AM7" s="28">
        <f t="shared" ref="AM7:AP13" ca="1" si="0">OFFSET(INDIRECT($AM$5),$AL7,AM$6)</f>
        <v>1.1415</v>
      </c>
      <c r="AN7" s="28">
        <f t="shared" ca="1" si="0"/>
        <v>-2.7069999999999999</v>
      </c>
      <c r="AO7" s="28">
        <f t="shared" ca="1" si="0"/>
        <v>0.76629999999999998</v>
      </c>
      <c r="AP7" s="28">
        <f t="shared" ca="1" si="0"/>
        <v>0</v>
      </c>
      <c r="AQ7" s="28"/>
      <c r="AR7" s="28">
        <f t="shared" ref="AR7:AT13" ca="1" si="1">OFFSET(INDIRECT($AM$5),$AL7,AR$6)</f>
        <v>1.097</v>
      </c>
      <c r="AS7" s="28">
        <f t="shared" ca="1" si="1"/>
        <v>5.5628000000000002</v>
      </c>
      <c r="AT7" s="28">
        <f t="shared" ca="1" si="1"/>
        <v>-1.9956</v>
      </c>
      <c r="AV7" s="29">
        <f t="shared" ref="AV7:AV13" ca="1" si="2">OFFSET(INDIRECT($AM$5),AL7,-1)</f>
        <v>1</v>
      </c>
    </row>
    <row r="8" spans="1:48" ht="12.75" customHeight="1" x14ac:dyDescent="0.25">
      <c r="A8" s="36" t="s">
        <v>2</v>
      </c>
      <c r="B8" s="20">
        <v>3</v>
      </c>
      <c r="C8" s="20">
        <v>1.1883999999999999</v>
      </c>
      <c r="D8" s="20">
        <v>4.2099999999999999E-2</v>
      </c>
      <c r="E8" s="20">
        <v>-0.51559999999999995</v>
      </c>
      <c r="H8" s="21">
        <v>1.5995999999999999</v>
      </c>
      <c r="I8" s="21">
        <v>2.6267999999999998</v>
      </c>
      <c r="J8" s="37">
        <v>4.3700999999999999</v>
      </c>
      <c r="L8" s="36" t="s">
        <v>31</v>
      </c>
      <c r="M8" s="20">
        <v>5</v>
      </c>
      <c r="N8" s="21">
        <v>1.2076</v>
      </c>
      <c r="O8" s="21">
        <v>-1.0500000000000001E-2</v>
      </c>
      <c r="P8" s="21">
        <v>-0.29110000000000003</v>
      </c>
      <c r="Q8" s="21"/>
      <c r="S8" s="21">
        <v>0.66</v>
      </c>
      <c r="T8" s="21">
        <v>3.5</v>
      </c>
      <c r="U8" s="37">
        <v>6.65</v>
      </c>
      <c r="W8" s="36" t="s">
        <v>31</v>
      </c>
      <c r="X8" s="20">
        <v>5</v>
      </c>
      <c r="Y8" s="20">
        <v>1.3067</v>
      </c>
      <c r="Z8" s="20">
        <v>-1.03E-2</v>
      </c>
      <c r="AA8" s="20">
        <v>-0.46179999999999999</v>
      </c>
      <c r="AD8" s="20">
        <v>1.4285000000000001</v>
      </c>
      <c r="AE8" s="20">
        <v>3.2684000000000002</v>
      </c>
      <c r="AF8" s="42">
        <v>4.4073000000000002</v>
      </c>
      <c r="AH8" s="54" t="s">
        <v>86</v>
      </c>
      <c r="AI8" s="54"/>
      <c r="AJ8" s="54">
        <f>MATCH(Introduction!D17,Family,0)</f>
        <v>1</v>
      </c>
      <c r="AL8" s="20">
        <v>1</v>
      </c>
      <c r="AM8" s="28">
        <f t="shared" ca="1" si="0"/>
        <v>1.2563</v>
      </c>
      <c r="AN8" s="28">
        <f t="shared" ca="1" si="0"/>
        <v>-0.53810000000000002</v>
      </c>
      <c r="AO8" s="28">
        <f t="shared" ca="1" si="0"/>
        <v>-0.26369999999999999</v>
      </c>
      <c r="AP8" s="28">
        <f t="shared" ca="1" si="0"/>
        <v>0</v>
      </c>
      <c r="AQ8" s="28"/>
      <c r="AR8" s="28">
        <f t="shared" ca="1" si="1"/>
        <v>1.3062</v>
      </c>
      <c r="AS8" s="28">
        <f t="shared" ca="1" si="1"/>
        <v>5.5677000000000003</v>
      </c>
      <c r="AT8" s="28">
        <f t="shared" ca="1" si="1"/>
        <v>0.29620000000000002</v>
      </c>
      <c r="AV8" s="29">
        <f t="shared" ca="1" si="2"/>
        <v>2</v>
      </c>
    </row>
    <row r="9" spans="1:48" ht="12.75" customHeight="1" x14ac:dyDescent="0.25">
      <c r="A9" s="36" t="s">
        <v>3</v>
      </c>
      <c r="B9" s="20">
        <v>5</v>
      </c>
      <c r="C9" s="20">
        <v>1.2045999999999999</v>
      </c>
      <c r="D9" s="20">
        <v>0.30370000000000003</v>
      </c>
      <c r="E9" s="20">
        <v>-0.56559999999999999</v>
      </c>
      <c r="H9" s="21">
        <v>2.0779000000000001</v>
      </c>
      <c r="I9" s="21">
        <v>-1.7907999999999999</v>
      </c>
      <c r="J9" s="37">
        <v>9.4125999999999994</v>
      </c>
      <c r="L9" s="36" t="s">
        <v>0</v>
      </c>
      <c r="M9" s="20">
        <v>5</v>
      </c>
      <c r="N9" s="21">
        <v>1.2030000000000001</v>
      </c>
      <c r="O9" s="21">
        <v>8.9599999999999999E-2</v>
      </c>
      <c r="P9" s="21">
        <v>-0.42649999999999999</v>
      </c>
      <c r="Q9" s="21"/>
      <c r="S9" s="21">
        <v>-1.96</v>
      </c>
      <c r="T9" s="21">
        <v>-0.9</v>
      </c>
      <c r="U9" s="37">
        <v>17.66</v>
      </c>
      <c r="W9" s="36" t="s">
        <v>0</v>
      </c>
      <c r="X9" s="20">
        <v>10</v>
      </c>
      <c r="Y9" s="20">
        <v>1.4701</v>
      </c>
      <c r="Z9" s="20">
        <v>0.17630000000000001</v>
      </c>
      <c r="AA9" s="20">
        <v>-0.7268</v>
      </c>
      <c r="AD9" s="20">
        <v>-7.5300000000000006E-2</v>
      </c>
      <c r="AE9" s="20">
        <v>-1.08</v>
      </c>
      <c r="AF9" s="42">
        <v>12.928100000000001</v>
      </c>
      <c r="AH9" s="54"/>
      <c r="AI9" s="55" t="s">
        <v>7</v>
      </c>
      <c r="AJ9" s="54"/>
      <c r="AL9" s="20">
        <v>2</v>
      </c>
      <c r="AM9" s="28">
        <f t="shared" ca="1" si="0"/>
        <v>1.1851</v>
      </c>
      <c r="AN9" s="28">
        <f t="shared" ca="1" si="0"/>
        <v>6.3299999999999995E-2</v>
      </c>
      <c r="AO9" s="28">
        <f t="shared" ca="1" si="0"/>
        <v>-0.41770000000000002</v>
      </c>
      <c r="AP9" s="28">
        <f t="shared" ca="1" si="0"/>
        <v>0</v>
      </c>
      <c r="AQ9" s="28"/>
      <c r="AR9" s="28">
        <f t="shared" ca="1" si="1"/>
        <v>1.5305</v>
      </c>
      <c r="AS9" s="28">
        <f t="shared" ca="1" si="1"/>
        <v>2.5528</v>
      </c>
      <c r="AT9" s="28">
        <f t="shared" ca="1" si="1"/>
        <v>4.8962000000000003</v>
      </c>
      <c r="AV9" s="29">
        <f t="shared" ca="1" si="2"/>
        <v>3</v>
      </c>
    </row>
    <row r="10" spans="1:48" ht="12.75" customHeight="1" x14ac:dyDescent="0.25">
      <c r="A10" s="36" t="s">
        <v>4</v>
      </c>
      <c r="B10" s="20">
        <v>10</v>
      </c>
      <c r="C10" s="20">
        <v>1.2585999999999999</v>
      </c>
      <c r="D10" s="20">
        <v>0.42359999999999998</v>
      </c>
      <c r="E10" s="20">
        <v>-0.58979999999999999</v>
      </c>
      <c r="H10" s="21">
        <v>2.7705000000000002</v>
      </c>
      <c r="I10" s="21">
        <v>-7.3403</v>
      </c>
      <c r="J10" s="37">
        <v>14.9352</v>
      </c>
      <c r="L10" s="36" t="s">
        <v>1</v>
      </c>
      <c r="M10" s="20">
        <v>10</v>
      </c>
      <c r="N10" s="21">
        <v>1.3291999999999999</v>
      </c>
      <c r="O10" s="21">
        <v>0.1598</v>
      </c>
      <c r="P10" s="21">
        <v>-0.57779999999999998</v>
      </c>
      <c r="Q10" s="21"/>
      <c r="S10" s="21">
        <v>-3.85</v>
      </c>
      <c r="T10" s="21">
        <v>-6.42</v>
      </c>
      <c r="U10" s="37">
        <v>28.94</v>
      </c>
      <c r="W10" s="36" t="s">
        <v>1</v>
      </c>
      <c r="X10" s="20">
        <v>15</v>
      </c>
      <c r="Y10" s="20">
        <v>1.5039</v>
      </c>
      <c r="Z10" s="20">
        <v>3.8999999999999998E-3</v>
      </c>
      <c r="AA10" s="20">
        <v>-0.70709999999999995</v>
      </c>
      <c r="AD10" s="20">
        <v>-1.9749000000000001</v>
      </c>
      <c r="AE10" s="20">
        <v>-3.4773000000000001</v>
      </c>
      <c r="AF10" s="42">
        <v>21.331800000000001</v>
      </c>
      <c r="AH10" s="54"/>
      <c r="AI10" s="57" t="s">
        <v>40</v>
      </c>
      <c r="AJ10" s="54"/>
      <c r="AL10" s="20">
        <v>3</v>
      </c>
      <c r="AM10" s="28">
        <f t="shared" ca="1" si="0"/>
        <v>1.1719999999999999</v>
      </c>
      <c r="AN10" s="28">
        <f t="shared" ca="1" si="0"/>
        <v>0.2341</v>
      </c>
      <c r="AO10" s="28">
        <f t="shared" ca="1" si="0"/>
        <v>-0.42720000000000002</v>
      </c>
      <c r="AP10" s="28">
        <f t="shared" ca="1" si="0"/>
        <v>0</v>
      </c>
      <c r="AQ10" s="28"/>
      <c r="AR10" s="28">
        <f t="shared" ca="1" si="1"/>
        <v>1.9991000000000001</v>
      </c>
      <c r="AS10" s="28">
        <f t="shared" ca="1" si="1"/>
        <v>-2.4260999999999999</v>
      </c>
      <c r="AT10" s="28">
        <f t="shared" ca="1" si="1"/>
        <v>10.4282</v>
      </c>
      <c r="AV10" s="29">
        <f t="shared" ca="1" si="2"/>
        <v>5</v>
      </c>
    </row>
    <row r="11" spans="1:48" ht="12.75" customHeight="1" x14ac:dyDescent="0.25">
      <c r="A11" s="36" t="s">
        <v>5</v>
      </c>
      <c r="B11" s="20">
        <v>15</v>
      </c>
      <c r="C11" s="20">
        <v>1.224</v>
      </c>
      <c r="D11" s="20">
        <v>0.42220000000000002</v>
      </c>
      <c r="E11" s="20">
        <v>-0.54559999999999997</v>
      </c>
      <c r="H11" s="21">
        <v>4.1520000000000001</v>
      </c>
      <c r="I11" s="21">
        <v>-12.2448</v>
      </c>
      <c r="J11" s="37">
        <v>19.2349</v>
      </c>
      <c r="L11" s="36"/>
      <c r="U11" s="42"/>
      <c r="W11" s="36" t="s">
        <v>2</v>
      </c>
      <c r="X11" s="20">
        <v>20</v>
      </c>
      <c r="Y11" s="20">
        <v>1.4798</v>
      </c>
      <c r="Z11" s="20">
        <v>-0.2487</v>
      </c>
      <c r="AA11" s="20">
        <v>-0.55820000000000003</v>
      </c>
      <c r="AD11" s="20">
        <v>-2.1888000000000001</v>
      </c>
      <c r="AE11" s="20">
        <v>0.61240000000000006</v>
      </c>
      <c r="AF11" s="42">
        <v>23.9376</v>
      </c>
      <c r="AH11" s="54"/>
      <c r="AI11" s="54"/>
      <c r="AJ11" s="54"/>
      <c r="AL11" s="20">
        <v>4</v>
      </c>
      <c r="AM11" s="28">
        <f t="shared" ca="1" si="0"/>
        <v>1.1865000000000001</v>
      </c>
      <c r="AN11" s="28">
        <f t="shared" ca="1" si="0"/>
        <v>0.308</v>
      </c>
      <c r="AO11" s="28">
        <f t="shared" ca="1" si="0"/>
        <v>-0.44519999999999998</v>
      </c>
      <c r="AP11" s="28">
        <f t="shared" ca="1" si="0"/>
        <v>0</v>
      </c>
      <c r="AQ11" s="28"/>
      <c r="AR11" s="28">
        <f t="shared" ca="1" si="1"/>
        <v>2.7631999999999999</v>
      </c>
      <c r="AS11" s="28">
        <f t="shared" ca="1" si="1"/>
        <v>-8.4064999999999994</v>
      </c>
      <c r="AT11" s="28">
        <f t="shared" ca="1" si="1"/>
        <v>16.178699999999999</v>
      </c>
      <c r="AV11" s="29">
        <f t="shared" ca="1" si="2"/>
        <v>10</v>
      </c>
    </row>
    <row r="12" spans="1:48" ht="12.75" customHeight="1" x14ac:dyDescent="0.25">
      <c r="A12" s="36" t="s">
        <v>6</v>
      </c>
      <c r="B12" s="20">
        <v>20</v>
      </c>
      <c r="C12" s="20">
        <v>1.1772</v>
      </c>
      <c r="D12" s="20">
        <v>0.34860000000000002</v>
      </c>
      <c r="E12" s="20">
        <v>-0.46239999999999998</v>
      </c>
      <c r="H12" s="21">
        <v>6.9649999999999999</v>
      </c>
      <c r="I12" s="21">
        <v>-13.916</v>
      </c>
      <c r="J12" s="37">
        <v>19.9542</v>
      </c>
      <c r="L12" s="36"/>
      <c r="U12" s="42"/>
      <c r="W12" s="36"/>
      <c r="AE12" s="49"/>
      <c r="AF12" s="50"/>
      <c r="AG12" s="23"/>
      <c r="AH12" s="54" t="s">
        <v>87</v>
      </c>
      <c r="AI12" s="54"/>
      <c r="AJ12" s="54">
        <f>MATCH(Introduction!D18,IF(AJ8=1,Princeton,UN),0)</f>
        <v>4</v>
      </c>
      <c r="AL12" s="20">
        <v>5</v>
      </c>
      <c r="AM12" s="28">
        <f t="shared" ca="1" si="0"/>
        <v>1.1746000000000001</v>
      </c>
      <c r="AN12" s="28">
        <f t="shared" ca="1" si="0"/>
        <v>0.33139999999999997</v>
      </c>
      <c r="AO12" s="28">
        <f t="shared" ca="1" si="0"/>
        <v>-0.45369999999999999</v>
      </c>
      <c r="AP12" s="28">
        <f t="shared" ca="1" si="0"/>
        <v>0</v>
      </c>
      <c r="AQ12" s="28"/>
      <c r="AR12" s="28">
        <f t="shared" ca="1" si="1"/>
        <v>4.3468</v>
      </c>
      <c r="AS12" s="28">
        <f t="shared" ca="1" si="1"/>
        <v>-13.243600000000001</v>
      </c>
      <c r="AT12" s="28">
        <f t="shared" ca="1" si="1"/>
        <v>20.199000000000002</v>
      </c>
      <c r="AV12" s="29">
        <f t="shared" ca="1" si="2"/>
        <v>15</v>
      </c>
    </row>
    <row r="13" spans="1:48" ht="12.75" customHeight="1" x14ac:dyDescent="0.25">
      <c r="A13" s="38"/>
      <c r="B13" s="39"/>
      <c r="C13" s="27"/>
      <c r="D13" s="27"/>
      <c r="E13" s="27"/>
      <c r="F13" s="27"/>
      <c r="G13" s="27"/>
      <c r="H13" s="27"/>
      <c r="I13" s="27"/>
      <c r="J13" s="40"/>
      <c r="L13" s="36"/>
      <c r="U13" s="42"/>
      <c r="W13" s="36"/>
      <c r="AE13" s="48"/>
      <c r="AF13" s="50"/>
      <c r="AG13" s="23"/>
      <c r="AH13" s="54"/>
      <c r="AI13" s="55" t="s">
        <v>41</v>
      </c>
      <c r="AJ13" s="54"/>
      <c r="AL13" s="20">
        <v>6</v>
      </c>
      <c r="AM13" s="28">
        <f t="shared" ca="1" si="0"/>
        <v>1.1638999999999999</v>
      </c>
      <c r="AN13" s="28">
        <f t="shared" ca="1" si="0"/>
        <v>0.31900000000000001</v>
      </c>
      <c r="AO13" s="28">
        <f t="shared" ca="1" si="0"/>
        <v>-0.44350000000000001</v>
      </c>
      <c r="AP13" s="28">
        <f t="shared" ca="1" si="0"/>
        <v>0</v>
      </c>
      <c r="AQ13" s="28"/>
      <c r="AR13" s="28">
        <f t="shared" ca="1" si="1"/>
        <v>7.5242000000000004</v>
      </c>
      <c r="AS13" s="28">
        <f t="shared" ca="1" si="1"/>
        <v>-14.2013</v>
      </c>
      <c r="AT13" s="28">
        <f t="shared" ca="1" si="1"/>
        <v>20.016200000000001</v>
      </c>
      <c r="AV13" s="29">
        <f t="shared" ca="1" si="2"/>
        <v>20</v>
      </c>
    </row>
    <row r="14" spans="1:48" ht="12.75" customHeight="1" x14ac:dyDescent="0.25">
      <c r="A14" s="41"/>
      <c r="B14" s="27"/>
      <c r="C14" s="27"/>
      <c r="D14" s="27"/>
      <c r="E14" s="27"/>
      <c r="F14" s="27"/>
      <c r="G14" s="27"/>
      <c r="H14" s="27"/>
      <c r="I14" s="27"/>
      <c r="J14" s="40"/>
      <c r="L14" s="36"/>
      <c r="U14" s="42"/>
      <c r="W14" s="36"/>
      <c r="AE14" s="48"/>
      <c r="AF14" s="50"/>
      <c r="AG14" s="23"/>
      <c r="AH14" s="54"/>
      <c r="AI14" s="56" t="s">
        <v>42</v>
      </c>
      <c r="AJ14" s="54"/>
    </row>
    <row r="15" spans="1:48" ht="15" customHeight="1" x14ac:dyDescent="0.25">
      <c r="A15" s="167" t="s">
        <v>18</v>
      </c>
      <c r="B15" s="167"/>
      <c r="C15" s="167"/>
      <c r="D15" s="167"/>
      <c r="E15" s="167"/>
      <c r="F15" s="167"/>
      <c r="G15" s="167"/>
      <c r="H15" s="167"/>
      <c r="I15" s="167"/>
      <c r="J15" s="168"/>
      <c r="K15" s="24"/>
      <c r="L15" s="35"/>
      <c r="M15" s="24"/>
      <c r="N15" s="167" t="s">
        <v>18</v>
      </c>
      <c r="O15" s="167"/>
      <c r="P15" s="167"/>
      <c r="Q15" s="167"/>
      <c r="R15" s="167"/>
      <c r="S15" s="167"/>
      <c r="T15" s="167"/>
      <c r="U15" s="168"/>
      <c r="V15" s="24"/>
      <c r="W15" s="35"/>
      <c r="X15" s="24"/>
      <c r="Y15" s="167" t="s">
        <v>18</v>
      </c>
      <c r="Z15" s="167"/>
      <c r="AA15" s="167"/>
      <c r="AB15" s="167"/>
      <c r="AC15" s="167"/>
      <c r="AD15" s="167"/>
      <c r="AE15" s="167"/>
      <c r="AF15" s="168"/>
      <c r="AG15" s="23"/>
      <c r="AH15" s="54"/>
      <c r="AI15" s="56" t="s">
        <v>43</v>
      </c>
      <c r="AJ15" s="54"/>
      <c r="AM15" s="167" t="s">
        <v>65</v>
      </c>
      <c r="AN15" s="167"/>
      <c r="AO15" s="24"/>
      <c r="AP15" s="28"/>
      <c r="AQ15" s="28"/>
      <c r="AR15" s="28"/>
      <c r="AS15" s="28"/>
      <c r="AT15" s="28"/>
    </row>
    <row r="16" spans="1:48" ht="12.75" customHeight="1" x14ac:dyDescent="0.25">
      <c r="A16" s="51" t="s">
        <v>53</v>
      </c>
      <c r="B16" s="52" t="s">
        <v>28</v>
      </c>
      <c r="C16" s="26" t="s">
        <v>8</v>
      </c>
      <c r="D16" s="26" t="s">
        <v>9</v>
      </c>
      <c r="E16" s="26" t="s">
        <v>10</v>
      </c>
      <c r="F16" s="26" t="s">
        <v>11</v>
      </c>
      <c r="G16" s="26"/>
      <c r="H16" s="26" t="s">
        <v>12</v>
      </c>
      <c r="I16" s="26" t="s">
        <v>13</v>
      </c>
      <c r="J16" s="53" t="s">
        <v>14</v>
      </c>
      <c r="L16" s="51" t="s">
        <v>82</v>
      </c>
      <c r="M16" s="52" t="s">
        <v>28</v>
      </c>
      <c r="N16" s="26" t="s">
        <v>8</v>
      </c>
      <c r="O16" s="26" t="s">
        <v>9</v>
      </c>
      <c r="P16" s="26" t="s">
        <v>10</v>
      </c>
      <c r="Q16" s="26"/>
      <c r="R16" s="26"/>
      <c r="S16" s="26" t="s">
        <v>12</v>
      </c>
      <c r="T16" s="26" t="s">
        <v>13</v>
      </c>
      <c r="U16" s="53" t="s">
        <v>14</v>
      </c>
      <c r="W16" s="51" t="s">
        <v>82</v>
      </c>
      <c r="X16" s="52" t="s">
        <v>28</v>
      </c>
      <c r="Y16" s="26" t="s">
        <v>8</v>
      </c>
      <c r="Z16" s="26" t="s">
        <v>9</v>
      </c>
      <c r="AA16" s="26" t="s">
        <v>10</v>
      </c>
      <c r="AB16" s="26"/>
      <c r="AC16" s="26"/>
      <c r="AD16" s="26" t="s">
        <v>12</v>
      </c>
      <c r="AE16" s="26" t="s">
        <v>13</v>
      </c>
      <c r="AF16" s="53" t="s">
        <v>14</v>
      </c>
      <c r="AG16" s="23"/>
      <c r="AH16" s="54"/>
      <c r="AI16" s="57" t="s">
        <v>44</v>
      </c>
      <c r="AJ16" s="54"/>
      <c r="AM16" s="77" t="s">
        <v>28</v>
      </c>
      <c r="AN16" s="79" t="s">
        <v>90</v>
      </c>
      <c r="AO16" s="24"/>
      <c r="AP16" s="28"/>
      <c r="AQ16" s="28"/>
      <c r="AR16" s="28"/>
      <c r="AS16" s="28"/>
      <c r="AT16" s="28"/>
    </row>
    <row r="17" spans="1:46" ht="12.75" customHeight="1" x14ac:dyDescent="0.25">
      <c r="A17" s="36" t="s">
        <v>0</v>
      </c>
      <c r="B17" s="20">
        <v>1</v>
      </c>
      <c r="C17" s="20">
        <v>1.0819000000000001</v>
      </c>
      <c r="D17" s="20">
        <v>-3.0005000000000002</v>
      </c>
      <c r="E17" s="20">
        <v>0.86890000000000001</v>
      </c>
      <c r="F17" s="27"/>
      <c r="G17" s="27"/>
      <c r="H17" s="21">
        <v>1.0900000000000001</v>
      </c>
      <c r="I17" s="21">
        <v>5.4443000000000001</v>
      </c>
      <c r="J17" s="37">
        <v>-1.9721</v>
      </c>
      <c r="L17" s="36" t="s">
        <v>29</v>
      </c>
      <c r="M17" s="20">
        <v>2</v>
      </c>
      <c r="N17" s="20">
        <v>1.1705000000000001</v>
      </c>
      <c r="O17" s="20">
        <v>-0.14610000000000001</v>
      </c>
      <c r="P17" s="20">
        <v>5.1000000000000004E-3</v>
      </c>
      <c r="S17" s="21">
        <v>1.68</v>
      </c>
      <c r="T17" s="21">
        <v>0.96</v>
      </c>
      <c r="U17" s="37">
        <v>-0.32</v>
      </c>
      <c r="W17" s="36" t="s">
        <v>29</v>
      </c>
      <c r="X17" s="20">
        <v>2</v>
      </c>
      <c r="Y17" s="20">
        <v>1.3103</v>
      </c>
      <c r="Z17" s="20">
        <v>-0.58560000000000001</v>
      </c>
      <c r="AA17" s="20">
        <v>0.13669999999999999</v>
      </c>
      <c r="AD17" s="20">
        <v>1.0202</v>
      </c>
      <c r="AE17" s="48">
        <v>1.3064</v>
      </c>
      <c r="AF17" s="50">
        <v>-0.32969999999999999</v>
      </c>
      <c r="AG17" s="23"/>
      <c r="AH17" s="54"/>
      <c r="AI17" s="55" t="s">
        <v>45</v>
      </c>
      <c r="AJ17" s="54"/>
      <c r="AM17" s="64">
        <v>0</v>
      </c>
      <c r="AN17" s="80"/>
      <c r="AO17" s="66"/>
      <c r="AP17" s="27"/>
      <c r="AQ17" s="27"/>
      <c r="AR17" s="27"/>
      <c r="AS17" s="27"/>
      <c r="AT17" s="27"/>
    </row>
    <row r="18" spans="1:46" ht="12.75" customHeight="1" x14ac:dyDescent="0.25">
      <c r="A18" s="36" t="s">
        <v>1</v>
      </c>
      <c r="B18" s="20">
        <v>2</v>
      </c>
      <c r="C18" s="20">
        <v>1.2846</v>
      </c>
      <c r="D18" s="20">
        <v>-0.61809999999999998</v>
      </c>
      <c r="E18" s="20">
        <v>-0.3024</v>
      </c>
      <c r="F18" s="27"/>
      <c r="G18" s="27"/>
      <c r="H18" s="21">
        <v>1.3079000000000001</v>
      </c>
      <c r="I18" s="21">
        <v>5.5568</v>
      </c>
      <c r="J18" s="37">
        <v>0.2021</v>
      </c>
      <c r="L18" s="36" t="s">
        <v>30</v>
      </c>
      <c r="M18" s="20">
        <v>5</v>
      </c>
      <c r="N18" s="20">
        <v>1.3166</v>
      </c>
      <c r="O18" s="20">
        <v>-0.31569999999999998</v>
      </c>
      <c r="P18" s="20">
        <v>-9.7100000000000006E-2</v>
      </c>
      <c r="S18" s="21">
        <v>2.29</v>
      </c>
      <c r="T18" s="21">
        <v>3.84</v>
      </c>
      <c r="U18" s="37">
        <v>-0.01</v>
      </c>
      <c r="W18" s="36" t="s">
        <v>30</v>
      </c>
      <c r="X18" s="20">
        <v>3</v>
      </c>
      <c r="Y18" s="20">
        <v>1.2309000000000001</v>
      </c>
      <c r="Z18" s="20">
        <v>-0.3463</v>
      </c>
      <c r="AA18" s="20">
        <v>-0.10730000000000001</v>
      </c>
      <c r="AD18" s="20">
        <v>1.6600999999999999</v>
      </c>
      <c r="AE18" s="49">
        <v>4.5105000000000004</v>
      </c>
      <c r="AF18" s="50">
        <v>-3.3500000000000002E-2</v>
      </c>
      <c r="AG18" s="23"/>
      <c r="AH18" s="54"/>
      <c r="AI18" s="56" t="s">
        <v>76</v>
      </c>
      <c r="AJ18" s="54"/>
      <c r="AM18" s="65">
        <v>1</v>
      </c>
      <c r="AN18" s="81">
        <f>HLOOKUP(Coefficients!$AJ$8*100+Coefficients!$AJ$12*10+Coefficients!$AJ$28,'Model LTs'!$A$2:$AB$13,5,FALSE)</f>
        <v>-1.2920084625948782</v>
      </c>
      <c r="AO18" s="78"/>
    </row>
    <row r="19" spans="1:46" ht="12.75" customHeight="1" x14ac:dyDescent="0.25">
      <c r="A19" s="36" t="s">
        <v>2</v>
      </c>
      <c r="B19" s="20">
        <v>3</v>
      </c>
      <c r="C19" s="20">
        <v>1.2222999999999999</v>
      </c>
      <c r="D19" s="20">
        <v>8.5099999999999995E-2</v>
      </c>
      <c r="E19" s="20">
        <v>-0.47039999999999998</v>
      </c>
      <c r="F19" s="27"/>
      <c r="G19" s="27"/>
      <c r="H19" s="21">
        <v>1.5173000000000001</v>
      </c>
      <c r="I19" s="21">
        <v>2.6755</v>
      </c>
      <c r="J19" s="37">
        <v>4.7470999999999997</v>
      </c>
      <c r="L19" s="36" t="s">
        <v>31</v>
      </c>
      <c r="M19" s="20">
        <v>5</v>
      </c>
      <c r="N19" s="20">
        <v>1.2951999999999999</v>
      </c>
      <c r="O19" s="20">
        <v>-4.2299999999999997E-2</v>
      </c>
      <c r="P19" s="20">
        <v>-0.42949999999999999</v>
      </c>
      <c r="S19" s="21">
        <v>1.19</v>
      </c>
      <c r="T19" s="21">
        <v>3.45</v>
      </c>
      <c r="U19" s="37">
        <v>5.41</v>
      </c>
      <c r="W19" s="36" t="s">
        <v>31</v>
      </c>
      <c r="X19" s="20">
        <v>5</v>
      </c>
      <c r="Y19" s="20">
        <v>1.2774000000000001</v>
      </c>
      <c r="Z19" s="20">
        <v>3.3599999999999998E-2</v>
      </c>
      <c r="AA19" s="20">
        <v>-0.3987</v>
      </c>
      <c r="AD19" s="20">
        <v>1.2145999999999999</v>
      </c>
      <c r="AE19" s="20">
        <v>3.4683999999999999</v>
      </c>
      <c r="AF19" s="42">
        <v>4.9523999999999999</v>
      </c>
      <c r="AH19" s="54"/>
      <c r="AI19" s="56" t="s">
        <v>46</v>
      </c>
      <c r="AJ19" s="54"/>
      <c r="AM19" s="65">
        <v>2</v>
      </c>
      <c r="AN19" s="81">
        <f>HLOOKUP(Coefficients!$AJ$8*100+Coefficients!$AJ$12*10+Coefficients!$AJ$28,'Model LTs'!$A$2:$AB$13,6,FALSE)</f>
        <v>-1.199382018993584</v>
      </c>
      <c r="AO19" s="78"/>
    </row>
    <row r="20" spans="1:46" ht="12.75" customHeight="1" x14ac:dyDescent="0.25">
      <c r="A20" s="36" t="s">
        <v>3</v>
      </c>
      <c r="B20" s="20">
        <v>5</v>
      </c>
      <c r="C20" s="20">
        <v>1.1904999999999999</v>
      </c>
      <c r="D20" s="20">
        <v>0.2631</v>
      </c>
      <c r="E20" s="20">
        <v>-0.44869999999999999</v>
      </c>
      <c r="F20" s="27"/>
      <c r="G20" s="27"/>
      <c r="H20" s="21">
        <v>1.9399</v>
      </c>
      <c r="I20" s="21">
        <v>-2.2738999999999998</v>
      </c>
      <c r="J20" s="37">
        <v>10.387600000000001</v>
      </c>
      <c r="L20" s="36" t="s">
        <v>0</v>
      </c>
      <c r="M20" s="20">
        <v>5</v>
      </c>
      <c r="N20" s="21">
        <v>1.2836000000000001</v>
      </c>
      <c r="O20" s="20">
        <v>0.1308</v>
      </c>
      <c r="P20" s="20">
        <v>-0.64959999999999996</v>
      </c>
      <c r="S20" s="21">
        <v>-1.01</v>
      </c>
      <c r="T20" s="21">
        <v>-0.18</v>
      </c>
      <c r="U20" s="37">
        <v>15.03</v>
      </c>
      <c r="W20" s="36" t="s">
        <v>0</v>
      </c>
      <c r="X20" s="20">
        <v>10</v>
      </c>
      <c r="Y20" s="20">
        <v>1.3492999999999999</v>
      </c>
      <c r="Z20" s="20">
        <v>0.1366</v>
      </c>
      <c r="AA20" s="20">
        <v>-0.5403</v>
      </c>
      <c r="AD20" s="20">
        <v>-0.64539999999999997</v>
      </c>
      <c r="AE20" s="20">
        <v>-1.6045</v>
      </c>
      <c r="AF20" s="50">
        <v>14.677300000000001</v>
      </c>
      <c r="AH20" s="54"/>
      <c r="AI20" s="56" t="s">
        <v>47</v>
      </c>
      <c r="AJ20" s="54"/>
      <c r="AM20" s="65">
        <v>3</v>
      </c>
      <c r="AN20" s="81">
        <f>HLOOKUP(Coefficients!$AJ$8*100+Coefficients!$AJ$12*10+Coefficients!$AJ$28,'Model LTs'!$A$2:$AB$13,7,FALSE)</f>
        <v>-1.1592413135184099</v>
      </c>
      <c r="AO20" s="78"/>
    </row>
    <row r="21" spans="1:46" ht="12.75" customHeight="1" x14ac:dyDescent="0.25">
      <c r="A21" s="36" t="s">
        <v>4</v>
      </c>
      <c r="B21" s="20">
        <v>10</v>
      </c>
      <c r="C21" s="20">
        <v>1.1911</v>
      </c>
      <c r="D21" s="20">
        <v>0.31519999999999998</v>
      </c>
      <c r="E21" s="20">
        <v>-0.42909999999999998</v>
      </c>
      <c r="F21" s="27"/>
      <c r="G21" s="27"/>
      <c r="H21" s="21">
        <v>2.6156999999999999</v>
      </c>
      <c r="I21" s="21">
        <v>-8.4818999999999996</v>
      </c>
      <c r="J21" s="37">
        <v>16.5153</v>
      </c>
      <c r="L21" s="36" t="s">
        <v>1</v>
      </c>
      <c r="M21" s="20">
        <v>10</v>
      </c>
      <c r="N21" s="20">
        <v>1.5268999999999999</v>
      </c>
      <c r="O21" s="20">
        <v>0.26590000000000003</v>
      </c>
      <c r="P21" s="20">
        <v>-0.91739999999999999</v>
      </c>
      <c r="S21" s="21">
        <v>-2.68</v>
      </c>
      <c r="T21" s="21">
        <v>-5.0599999999999996</v>
      </c>
      <c r="U21" s="37">
        <v>25.21</v>
      </c>
      <c r="W21" s="36" t="s">
        <v>1</v>
      </c>
      <c r="X21" s="20">
        <v>15</v>
      </c>
      <c r="Y21" s="20">
        <v>1.3592</v>
      </c>
      <c r="Z21" s="20">
        <v>-3.15E-2</v>
      </c>
      <c r="AA21" s="20">
        <v>-0.49440000000000001</v>
      </c>
      <c r="AD21" s="20">
        <v>-2.9104000000000001</v>
      </c>
      <c r="AE21" s="20">
        <v>-4.1352000000000002</v>
      </c>
      <c r="AF21" s="50">
        <v>24.007200000000001</v>
      </c>
      <c r="AH21" s="54"/>
      <c r="AI21" s="57" t="s">
        <v>48</v>
      </c>
      <c r="AJ21" s="54"/>
      <c r="AM21" s="65">
        <v>4</v>
      </c>
      <c r="AN21" s="81">
        <f>HLOOKUP(Coefficients!$AJ$8*100+Coefficients!$AJ$12*10+Coefficients!$AJ$28,'Model LTs'!$A$2:$AB$13,8,FALSE)</f>
        <v>-1.133848489507731</v>
      </c>
      <c r="AO21" s="78"/>
    </row>
    <row r="22" spans="1:46" ht="12.75" customHeight="1" x14ac:dyDescent="0.25">
      <c r="A22" s="36" t="s">
        <v>5</v>
      </c>
      <c r="B22" s="20">
        <v>15</v>
      </c>
      <c r="C22" s="20">
        <v>1.1564000000000001</v>
      </c>
      <c r="D22" s="20">
        <v>0.30170000000000002</v>
      </c>
      <c r="E22" s="20">
        <v>-0.39579999999999999</v>
      </c>
      <c r="F22" s="27"/>
      <c r="G22" s="27"/>
      <c r="H22" s="21">
        <v>4.0793999999999997</v>
      </c>
      <c r="I22" s="21">
        <v>-13.8308</v>
      </c>
      <c r="J22" s="37">
        <v>21.186599999999999</v>
      </c>
      <c r="L22" s="36"/>
      <c r="U22" s="42"/>
      <c r="W22" s="36" t="s">
        <v>2</v>
      </c>
      <c r="X22" s="20">
        <v>20</v>
      </c>
      <c r="Y22" s="20">
        <v>1.3532</v>
      </c>
      <c r="Z22" s="20">
        <v>-0.1978</v>
      </c>
      <c r="AA22" s="48">
        <v>-0.40989999999999999</v>
      </c>
      <c r="AB22" s="48"/>
      <c r="AD22" s="20">
        <v>-3.1640999999999999</v>
      </c>
      <c r="AE22" s="20">
        <v>1.2105999999999999</v>
      </c>
      <c r="AF22" s="50">
        <v>26.351500000000001</v>
      </c>
      <c r="AH22" s="54"/>
      <c r="AI22" s="54"/>
      <c r="AJ22" s="54"/>
      <c r="AM22" s="65">
        <v>5</v>
      </c>
      <c r="AN22" s="81">
        <f>HLOOKUP(Coefficients!$AJ$8*100+Coefficients!$AJ$12*10+Coefficients!$AJ$28,'Model LTs'!$A$2:$AB$13,9,FALSE)</f>
        <v>-1.1143192900977046</v>
      </c>
      <c r="AO22" s="78"/>
    </row>
    <row r="23" spans="1:46" ht="12.75" customHeight="1" x14ac:dyDescent="0.25">
      <c r="A23" s="36" t="s">
        <v>6</v>
      </c>
      <c r="B23" s="20">
        <v>20</v>
      </c>
      <c r="C23" s="20">
        <v>1.1307</v>
      </c>
      <c r="D23" s="20">
        <v>0.2596</v>
      </c>
      <c r="E23" s="20">
        <v>-0.3538</v>
      </c>
      <c r="F23" s="27"/>
      <c r="G23" s="27"/>
      <c r="H23" s="21">
        <v>7.1795999999999998</v>
      </c>
      <c r="I23" s="21">
        <v>-15.388</v>
      </c>
      <c r="J23" s="37">
        <v>21.789200000000001</v>
      </c>
      <c r="L23" s="36"/>
      <c r="U23" s="42"/>
      <c r="W23" s="36"/>
      <c r="AF23" s="42"/>
      <c r="AH23" s="54" t="s">
        <v>85</v>
      </c>
      <c r="AI23" s="54"/>
      <c r="AJ23" s="54">
        <f>MATCH(Introduction!D14,Variant,0)</f>
        <v>1</v>
      </c>
      <c r="AM23" s="65">
        <v>10</v>
      </c>
      <c r="AN23" s="81">
        <f>HLOOKUP(Coefficients!$AJ$8*100+Coefficients!$AJ$12*10+Coefficients!$AJ$28,'Model LTs'!$A$2:$AB$13,10,FALSE)</f>
        <v>-1.0648450322432061</v>
      </c>
      <c r="AO23" s="78"/>
    </row>
    <row r="24" spans="1:46" ht="12.75" customHeight="1" x14ac:dyDescent="0.25">
      <c r="A24" s="41"/>
      <c r="C24" s="27"/>
      <c r="D24" s="27"/>
      <c r="E24" s="27"/>
      <c r="F24" s="27"/>
      <c r="G24" s="27"/>
      <c r="H24" s="27"/>
      <c r="I24" s="27"/>
      <c r="J24" s="40"/>
      <c r="L24" s="36"/>
      <c r="U24" s="42"/>
      <c r="W24" s="36"/>
      <c r="AF24" s="42"/>
      <c r="AH24" s="54"/>
      <c r="AI24" s="55" t="s">
        <v>26</v>
      </c>
      <c r="AJ24" s="54"/>
      <c r="AM24" s="65">
        <v>15</v>
      </c>
      <c r="AN24" s="81">
        <f>HLOOKUP(Coefficients!$AJ$8*100+Coefficients!$AJ$12*10+Coefficients!$AJ$28,'Model LTs'!$A$2:$AB$13,11,FALSE)</f>
        <v>-1.0293119689456429</v>
      </c>
      <c r="AO24" s="78"/>
    </row>
    <row r="25" spans="1:46" ht="12.75" customHeight="1" x14ac:dyDescent="0.25">
      <c r="A25" s="41"/>
      <c r="C25" s="27"/>
      <c r="D25" s="27"/>
      <c r="E25" s="27"/>
      <c r="F25" s="27"/>
      <c r="G25" s="27"/>
      <c r="H25" s="27"/>
      <c r="I25" s="27"/>
      <c r="J25" s="40"/>
      <c r="L25" s="36"/>
      <c r="U25" s="42"/>
      <c r="W25" s="36"/>
      <c r="AF25" s="42"/>
      <c r="AH25" s="54"/>
      <c r="AI25" s="56" t="s">
        <v>35</v>
      </c>
      <c r="AJ25" s="54"/>
      <c r="AM25" s="67">
        <v>20</v>
      </c>
      <c r="AN25" s="82">
        <f>HLOOKUP(Coefficients!$AJ$8*100+Coefficients!$AJ$12*10+Coefficients!$AJ$28,'Model LTs'!$A$2:$AB$13,12,FALSE)</f>
        <v>-0.97893414503700538</v>
      </c>
      <c r="AO25" s="78"/>
    </row>
    <row r="26" spans="1:46" ht="15" customHeight="1" x14ac:dyDescent="0.25">
      <c r="A26" s="167" t="s">
        <v>19</v>
      </c>
      <c r="B26" s="167"/>
      <c r="C26" s="167"/>
      <c r="D26" s="167"/>
      <c r="E26" s="167"/>
      <c r="F26" s="167"/>
      <c r="G26" s="167"/>
      <c r="H26" s="167"/>
      <c r="I26" s="167"/>
      <c r="J26" s="168"/>
      <c r="K26" s="24"/>
      <c r="L26" s="35"/>
      <c r="M26" s="24"/>
      <c r="N26" s="167" t="s">
        <v>19</v>
      </c>
      <c r="O26" s="167"/>
      <c r="P26" s="167"/>
      <c r="Q26" s="167"/>
      <c r="R26" s="167"/>
      <c r="S26" s="167"/>
      <c r="T26" s="167"/>
      <c r="U26" s="168"/>
      <c r="V26" s="24"/>
      <c r="W26" s="35"/>
      <c r="X26" s="24"/>
      <c r="Y26" s="167" t="s">
        <v>19</v>
      </c>
      <c r="Z26" s="167"/>
      <c r="AA26" s="167"/>
      <c r="AB26" s="167"/>
      <c r="AC26" s="167"/>
      <c r="AD26" s="167"/>
      <c r="AE26" s="167"/>
      <c r="AF26" s="168"/>
      <c r="AH26" s="54"/>
      <c r="AI26" s="57" t="s">
        <v>36</v>
      </c>
      <c r="AJ26" s="54"/>
    </row>
    <row r="27" spans="1:46" ht="12.75" customHeight="1" x14ac:dyDescent="0.25">
      <c r="A27" s="51" t="s">
        <v>53</v>
      </c>
      <c r="B27" s="52" t="s">
        <v>28</v>
      </c>
      <c r="C27" s="26" t="s">
        <v>8</v>
      </c>
      <c r="D27" s="26" t="s">
        <v>9</v>
      </c>
      <c r="E27" s="26" t="s">
        <v>10</v>
      </c>
      <c r="F27" s="26" t="s">
        <v>11</v>
      </c>
      <c r="G27" s="26"/>
      <c r="H27" s="26" t="s">
        <v>12</v>
      </c>
      <c r="I27" s="26" t="s">
        <v>13</v>
      </c>
      <c r="J27" s="53" t="s">
        <v>14</v>
      </c>
      <c r="L27" s="51" t="s">
        <v>82</v>
      </c>
      <c r="M27" s="52" t="s">
        <v>28</v>
      </c>
      <c r="N27" s="26" t="s">
        <v>8</v>
      </c>
      <c r="O27" s="26" t="s">
        <v>9</v>
      </c>
      <c r="P27" s="26" t="s">
        <v>10</v>
      </c>
      <c r="Q27" s="26"/>
      <c r="R27" s="26"/>
      <c r="S27" s="26" t="s">
        <v>12</v>
      </c>
      <c r="T27" s="26" t="s">
        <v>13</v>
      </c>
      <c r="U27" s="53" t="s">
        <v>14</v>
      </c>
      <c r="W27" s="51" t="s">
        <v>82</v>
      </c>
      <c r="X27" s="52" t="s">
        <v>28</v>
      </c>
      <c r="Y27" s="26" t="s">
        <v>8</v>
      </c>
      <c r="Z27" s="26" t="s">
        <v>9</v>
      </c>
      <c r="AA27" s="26" t="s">
        <v>10</v>
      </c>
      <c r="AB27" s="26"/>
      <c r="AC27" s="26"/>
      <c r="AD27" s="26" t="s">
        <v>12</v>
      </c>
      <c r="AE27" s="26" t="s">
        <v>13</v>
      </c>
      <c r="AF27" s="53" t="s">
        <v>14</v>
      </c>
      <c r="AH27" s="54"/>
      <c r="AI27" s="54"/>
      <c r="AJ27" s="54"/>
    </row>
    <row r="28" spans="1:46" ht="12.75" customHeight="1" x14ac:dyDescent="0.25">
      <c r="A28" s="36" t="s">
        <v>0</v>
      </c>
      <c r="B28" s="20">
        <v>1</v>
      </c>
      <c r="C28" s="21">
        <v>1.1460999999999999</v>
      </c>
      <c r="D28" s="21">
        <v>-2.2536</v>
      </c>
      <c r="E28" s="21">
        <v>0.62590000000000001</v>
      </c>
      <c r="F28" s="43"/>
      <c r="G28" s="43"/>
      <c r="H28" s="21">
        <v>1.0959000000000001</v>
      </c>
      <c r="I28" s="21">
        <v>5.5864000000000003</v>
      </c>
      <c r="J28" s="37">
        <v>-1.9948999999999999</v>
      </c>
      <c r="L28" s="36" t="s">
        <v>29</v>
      </c>
      <c r="M28" s="20">
        <v>2</v>
      </c>
      <c r="N28" s="21">
        <v>1.2181999999999999</v>
      </c>
      <c r="O28" s="21">
        <v>-0.18090000000000001</v>
      </c>
      <c r="P28" s="21">
        <v>2.1399999999999999E-2</v>
      </c>
      <c r="Q28" s="21"/>
      <c r="S28" s="21">
        <v>1.68</v>
      </c>
      <c r="T28" s="21">
        <v>0.99</v>
      </c>
      <c r="U28" s="37">
        <v>-0.33</v>
      </c>
      <c r="W28" s="36" t="s">
        <v>29</v>
      </c>
      <c r="X28" s="20">
        <v>2</v>
      </c>
      <c r="Y28" s="20">
        <v>1.2299</v>
      </c>
      <c r="Z28" s="20">
        <v>-0.39979999999999999</v>
      </c>
      <c r="AA28" s="20">
        <v>9.0999999999999998E-2</v>
      </c>
      <c r="AD28" s="20">
        <v>1.038</v>
      </c>
      <c r="AE28" s="20">
        <v>1.4213</v>
      </c>
      <c r="AF28" s="42">
        <v>-0.35449999999999998</v>
      </c>
      <c r="AH28" s="54" t="s">
        <v>54</v>
      </c>
      <c r="AI28" s="54"/>
      <c r="AJ28" s="54">
        <f>MATCH(Introduction!D20,Sex,0)</f>
        <v>3</v>
      </c>
    </row>
    <row r="29" spans="1:46" ht="12.75" customHeight="1" x14ac:dyDescent="0.25">
      <c r="A29" s="36" t="s">
        <v>1</v>
      </c>
      <c r="B29" s="20">
        <v>2</v>
      </c>
      <c r="C29" s="21">
        <v>1.2231000000000001</v>
      </c>
      <c r="D29" s="21">
        <v>-0.43009999999999998</v>
      </c>
      <c r="E29" s="21">
        <v>-0.22450000000000001</v>
      </c>
      <c r="F29" s="43"/>
      <c r="G29" s="43"/>
      <c r="H29" s="21">
        <v>1.2921</v>
      </c>
      <c r="I29" s="21">
        <v>5.5896999999999997</v>
      </c>
      <c r="J29" s="37">
        <v>0.36309999999999998</v>
      </c>
      <c r="L29" s="36" t="s">
        <v>30</v>
      </c>
      <c r="M29" s="20">
        <v>5</v>
      </c>
      <c r="N29" s="21">
        <v>1.2768999999999999</v>
      </c>
      <c r="O29" s="21">
        <v>-0.2268</v>
      </c>
      <c r="P29" s="21">
        <v>-0.1052</v>
      </c>
      <c r="Q29" s="21"/>
      <c r="S29" s="21">
        <v>2.19</v>
      </c>
      <c r="T29" s="21">
        <v>4.28</v>
      </c>
      <c r="U29" s="37">
        <v>0.02</v>
      </c>
      <c r="W29" s="36" t="s">
        <v>30</v>
      </c>
      <c r="X29" s="20">
        <v>3</v>
      </c>
      <c r="Y29" s="20">
        <v>1.1611</v>
      </c>
      <c r="Z29" s="20">
        <v>-0.24510000000000001</v>
      </c>
      <c r="AA29" s="20">
        <v>-7.9699999999999993E-2</v>
      </c>
      <c r="AD29" s="20">
        <v>1.6440999999999999</v>
      </c>
      <c r="AE29" s="20">
        <v>4.7042000000000002</v>
      </c>
      <c r="AF29" s="42">
        <v>6.4199999999999993E-2</v>
      </c>
      <c r="AH29" s="54"/>
      <c r="AI29" s="55" t="s">
        <v>55</v>
      </c>
      <c r="AJ29" s="54"/>
    </row>
    <row r="30" spans="1:46" ht="12.75" customHeight="1" x14ac:dyDescent="0.25">
      <c r="A30" s="36" t="s">
        <v>2</v>
      </c>
      <c r="B30" s="20">
        <v>3</v>
      </c>
      <c r="C30" s="21">
        <v>1.1593</v>
      </c>
      <c r="D30" s="21">
        <v>5.8099999999999999E-2</v>
      </c>
      <c r="E30" s="21">
        <v>-0.34789999999999999</v>
      </c>
      <c r="F30" s="43"/>
      <c r="G30" s="43"/>
      <c r="H30" s="21">
        <v>1.5021</v>
      </c>
      <c r="I30" s="21">
        <v>2.4691999999999998</v>
      </c>
      <c r="J30" s="37">
        <v>5.0926999999999998</v>
      </c>
      <c r="L30" s="36" t="s">
        <v>31</v>
      </c>
      <c r="M30" s="20">
        <v>5</v>
      </c>
      <c r="N30" s="21">
        <v>1.2730999999999999</v>
      </c>
      <c r="O30" s="21">
        <v>5.0000000000000001E-4</v>
      </c>
      <c r="P30" s="21">
        <v>-0.372</v>
      </c>
      <c r="Q30" s="21"/>
      <c r="S30" s="21">
        <v>0.71</v>
      </c>
      <c r="T30" s="21">
        <v>3.63</v>
      </c>
      <c r="U30" s="37">
        <v>6.36</v>
      </c>
      <c r="W30" s="36" t="s">
        <v>31</v>
      </c>
      <c r="X30" s="20">
        <v>5</v>
      </c>
      <c r="Y30" s="20">
        <v>1.2036</v>
      </c>
      <c r="Z30" s="20">
        <v>1.7100000000000001E-2</v>
      </c>
      <c r="AA30" s="20">
        <v>-0.29920000000000002</v>
      </c>
      <c r="AD30" s="20">
        <v>1.1068</v>
      </c>
      <c r="AE30" s="20">
        <v>3.3031999999999999</v>
      </c>
      <c r="AF30" s="42">
        <v>5.4463999999999997</v>
      </c>
      <c r="AH30" s="54"/>
      <c r="AI30" s="56" t="s">
        <v>56</v>
      </c>
      <c r="AJ30" s="54"/>
    </row>
    <row r="31" spans="1:46" ht="12.75" customHeight="1" x14ac:dyDescent="0.25">
      <c r="A31" s="36" t="s">
        <v>3</v>
      </c>
      <c r="B31" s="20">
        <v>5</v>
      </c>
      <c r="C31" s="21">
        <v>1.1404000000000001</v>
      </c>
      <c r="D31" s="21">
        <v>0.1991</v>
      </c>
      <c r="E31" s="21">
        <v>-0.34870000000000001</v>
      </c>
      <c r="F31" s="21"/>
      <c r="G31" s="21"/>
      <c r="H31" s="21">
        <v>1.9347000000000001</v>
      </c>
      <c r="I31" s="21">
        <v>-2.6419000000000001</v>
      </c>
      <c r="J31" s="37">
        <v>10.853300000000001</v>
      </c>
      <c r="L31" s="36" t="s">
        <v>0</v>
      </c>
      <c r="M31" s="20">
        <v>5</v>
      </c>
      <c r="N31" s="21">
        <v>1.2585</v>
      </c>
      <c r="O31" s="21">
        <v>0.1216</v>
      </c>
      <c r="P31" s="21">
        <v>-0.50129999999999997</v>
      </c>
      <c r="Q31" s="21"/>
      <c r="S31" s="21">
        <v>-1.96</v>
      </c>
      <c r="T31" s="21">
        <v>-0.71</v>
      </c>
      <c r="U31" s="37">
        <v>17.420000000000002</v>
      </c>
      <c r="W31" s="36" t="s">
        <v>0</v>
      </c>
      <c r="X31" s="20">
        <v>10</v>
      </c>
      <c r="Y31" s="20">
        <v>1.2773000000000001</v>
      </c>
      <c r="Z31" s="20">
        <v>0.10150000000000001</v>
      </c>
      <c r="AA31" s="20">
        <v>-0.42759999999999998</v>
      </c>
      <c r="AD31" s="20">
        <v>-0.86780000000000002</v>
      </c>
      <c r="AE31" s="20">
        <v>-1.9682999999999999</v>
      </c>
      <c r="AF31" s="42">
        <v>15.518700000000001</v>
      </c>
      <c r="AH31" s="54"/>
      <c r="AI31" s="57" t="s">
        <v>57</v>
      </c>
      <c r="AJ31" s="54"/>
    </row>
    <row r="32" spans="1:46" ht="12.75" customHeight="1" x14ac:dyDescent="0.25">
      <c r="A32" s="36" t="s">
        <v>4</v>
      </c>
      <c r="B32" s="20">
        <v>10</v>
      </c>
      <c r="C32" s="21">
        <v>1.1539999999999999</v>
      </c>
      <c r="D32" s="21">
        <v>0.25109999999999999</v>
      </c>
      <c r="E32" s="21">
        <v>-0.35060000000000002</v>
      </c>
      <c r="F32" s="21"/>
      <c r="G32" s="21"/>
      <c r="H32" s="21">
        <v>2.6196999999999999</v>
      </c>
      <c r="I32" s="21">
        <v>-8.9693000000000005</v>
      </c>
      <c r="J32" s="37">
        <v>17.098099999999999</v>
      </c>
      <c r="L32" s="36" t="s">
        <v>1</v>
      </c>
      <c r="M32" s="20">
        <v>10</v>
      </c>
      <c r="N32" s="21">
        <v>1.341</v>
      </c>
      <c r="O32" s="21">
        <v>0.1749</v>
      </c>
      <c r="P32" s="21">
        <v>-0.59640000000000004</v>
      </c>
      <c r="Q32" s="21"/>
      <c r="S32" s="21">
        <v>-4.0599999999999996</v>
      </c>
      <c r="T32" s="21">
        <v>-6.35</v>
      </c>
      <c r="U32" s="37">
        <v>29.14</v>
      </c>
      <c r="W32" s="36" t="s">
        <v>1</v>
      </c>
      <c r="X32" s="20">
        <v>15</v>
      </c>
      <c r="Y32" s="20">
        <v>1.3013999999999999</v>
      </c>
      <c r="Z32" s="20">
        <v>-2.1899999999999999E-2</v>
      </c>
      <c r="AA32" s="20">
        <v>-0.41949999999999998</v>
      </c>
      <c r="AD32" s="20">
        <v>-3.2153999999999998</v>
      </c>
      <c r="AE32" s="20">
        <v>-4.1123000000000003</v>
      </c>
      <c r="AF32" s="42">
        <v>24.862400000000001</v>
      </c>
      <c r="AH32" s="54"/>
      <c r="AI32" s="54"/>
      <c r="AJ32" s="54"/>
    </row>
    <row r="33" spans="1:36" ht="12.75" customHeight="1" x14ac:dyDescent="0.25">
      <c r="A33" s="36" t="s">
        <v>5</v>
      </c>
      <c r="B33" s="20">
        <v>15</v>
      </c>
      <c r="C33" s="21">
        <v>1.1335999999999999</v>
      </c>
      <c r="D33" s="21">
        <v>0.25559999999999999</v>
      </c>
      <c r="E33" s="21">
        <v>-0.34279999999999999</v>
      </c>
      <c r="F33" s="21"/>
      <c r="G33" s="21"/>
      <c r="H33" s="21">
        <v>4.1317000000000004</v>
      </c>
      <c r="I33" s="21">
        <v>-14.355</v>
      </c>
      <c r="J33" s="37">
        <v>21.8247</v>
      </c>
      <c r="L33" s="36"/>
      <c r="U33" s="42"/>
      <c r="W33" s="36" t="s">
        <v>2</v>
      </c>
      <c r="X33" s="20">
        <v>20</v>
      </c>
      <c r="Y33" s="83">
        <v>1.3160000000000001</v>
      </c>
      <c r="Z33" s="23">
        <v>-0.16300000000000001</v>
      </c>
      <c r="AA33" s="20">
        <v>-0.37509999999999999</v>
      </c>
      <c r="AD33" s="20">
        <v>-3.3885000000000001</v>
      </c>
      <c r="AE33" s="20">
        <v>1.6746000000000001</v>
      </c>
      <c r="AF33" s="42">
        <v>26.979800000000001</v>
      </c>
      <c r="AH33" s="54" t="s">
        <v>88</v>
      </c>
      <c r="AI33" s="54"/>
      <c r="AJ33" s="54">
        <f>VLOOKUP(100*AJ8+10*AJ12+AJ23,$AI$34:$AI$50,1,FALSE)</f>
        <v>141</v>
      </c>
    </row>
    <row r="34" spans="1:36" ht="12.75" customHeight="1" x14ac:dyDescent="0.25">
      <c r="A34" s="36" t="s">
        <v>6</v>
      </c>
      <c r="B34" s="20">
        <v>20</v>
      </c>
      <c r="C34" s="21">
        <v>1.1201000000000001</v>
      </c>
      <c r="D34" s="21">
        <v>0.23619999999999999</v>
      </c>
      <c r="E34" s="21">
        <v>-0.32679999999999998</v>
      </c>
      <c r="F34" s="21"/>
      <c r="G34" s="21"/>
      <c r="H34" s="21">
        <v>7.3657000000000004</v>
      </c>
      <c r="I34" s="21">
        <v>-15.808299999999999</v>
      </c>
      <c r="J34" s="37">
        <v>22.3005</v>
      </c>
      <c r="L34" s="36"/>
      <c r="U34" s="42"/>
      <c r="W34" s="36"/>
      <c r="AF34" s="42"/>
      <c r="AH34" s="54"/>
      <c r="AI34" s="55">
        <v>111</v>
      </c>
      <c r="AJ34" s="54"/>
    </row>
    <row r="35" spans="1:36" ht="12.75" customHeight="1" x14ac:dyDescent="0.25">
      <c r="A35" s="36"/>
      <c r="J35" s="42"/>
      <c r="L35" s="36"/>
      <c r="U35" s="42"/>
      <c r="W35" s="36"/>
      <c r="AF35" s="42"/>
      <c r="AH35" s="54"/>
      <c r="AI35" s="56">
        <v>121</v>
      </c>
      <c r="AJ35" s="54"/>
    </row>
    <row r="36" spans="1:36" ht="12.75" customHeight="1" x14ac:dyDescent="0.25">
      <c r="A36" s="36"/>
      <c r="J36" s="42"/>
      <c r="L36" s="36"/>
      <c r="U36" s="42"/>
      <c r="W36" s="36"/>
      <c r="AF36" s="42"/>
      <c r="AH36" s="54"/>
      <c r="AI36" s="56">
        <v>131</v>
      </c>
      <c r="AJ36" s="54"/>
    </row>
    <row r="37" spans="1:36" ht="15" customHeight="1" x14ac:dyDescent="0.25">
      <c r="A37" s="167" t="s">
        <v>20</v>
      </c>
      <c r="B37" s="167"/>
      <c r="C37" s="167"/>
      <c r="D37" s="167"/>
      <c r="E37" s="167"/>
      <c r="F37" s="167"/>
      <c r="G37" s="167"/>
      <c r="H37" s="167"/>
      <c r="I37" s="167"/>
      <c r="J37" s="168"/>
      <c r="K37" s="24"/>
      <c r="L37" s="35"/>
      <c r="M37" s="24"/>
      <c r="N37" s="167" t="s">
        <v>20</v>
      </c>
      <c r="O37" s="167"/>
      <c r="P37" s="167"/>
      <c r="Q37" s="167"/>
      <c r="R37" s="167"/>
      <c r="S37" s="167"/>
      <c r="T37" s="167"/>
      <c r="U37" s="168"/>
      <c r="V37" s="24"/>
      <c r="W37" s="35"/>
      <c r="X37" s="24"/>
      <c r="Y37" s="167" t="s">
        <v>20</v>
      </c>
      <c r="Z37" s="167"/>
      <c r="AA37" s="167"/>
      <c r="AB37" s="167"/>
      <c r="AC37" s="167"/>
      <c r="AD37" s="167"/>
      <c r="AE37" s="167"/>
      <c r="AF37" s="168"/>
      <c r="AH37" s="54"/>
      <c r="AI37" s="56">
        <v>141</v>
      </c>
      <c r="AJ37" s="54"/>
    </row>
    <row r="38" spans="1:36" ht="12.75" customHeight="1" x14ac:dyDescent="0.25">
      <c r="A38" s="51" t="s">
        <v>53</v>
      </c>
      <c r="B38" s="52" t="s">
        <v>28</v>
      </c>
      <c r="C38" s="26" t="s">
        <v>8</v>
      </c>
      <c r="D38" s="26" t="s">
        <v>9</v>
      </c>
      <c r="E38" s="26" t="s">
        <v>10</v>
      </c>
      <c r="F38" s="26" t="s">
        <v>11</v>
      </c>
      <c r="G38" s="26"/>
      <c r="H38" s="26" t="s">
        <v>12</v>
      </c>
      <c r="I38" s="26" t="s">
        <v>13</v>
      </c>
      <c r="J38" s="53" t="s">
        <v>14</v>
      </c>
      <c r="L38" s="51" t="s">
        <v>82</v>
      </c>
      <c r="M38" s="52" t="s">
        <v>28</v>
      </c>
      <c r="N38" s="26" t="s">
        <v>8</v>
      </c>
      <c r="O38" s="26" t="s">
        <v>9</v>
      </c>
      <c r="P38" s="26" t="s">
        <v>10</v>
      </c>
      <c r="Q38" s="26"/>
      <c r="R38" s="26"/>
      <c r="S38" s="26" t="s">
        <v>12</v>
      </c>
      <c r="T38" s="26" t="s">
        <v>13</v>
      </c>
      <c r="U38" s="53" t="s">
        <v>14</v>
      </c>
      <c r="W38" s="51" t="s">
        <v>82</v>
      </c>
      <c r="X38" s="52" t="s">
        <v>28</v>
      </c>
      <c r="Y38" s="26" t="s">
        <v>8</v>
      </c>
      <c r="Z38" s="26" t="s">
        <v>9</v>
      </c>
      <c r="AA38" s="26" t="s">
        <v>10</v>
      </c>
      <c r="AB38" s="26"/>
      <c r="AC38" s="26"/>
      <c r="AD38" s="26" t="s">
        <v>12</v>
      </c>
      <c r="AE38" s="26" t="s">
        <v>13</v>
      </c>
      <c r="AF38" s="53" t="s">
        <v>14</v>
      </c>
      <c r="AH38" s="54"/>
      <c r="AI38" s="56">
        <v>211</v>
      </c>
      <c r="AJ38" s="54"/>
    </row>
    <row r="39" spans="1:36" ht="12.75" customHeight="1" x14ac:dyDescent="0.25">
      <c r="A39" s="36" t="s">
        <v>0</v>
      </c>
      <c r="B39" s="20">
        <v>1</v>
      </c>
      <c r="C39" s="21">
        <v>1.1415</v>
      </c>
      <c r="D39" s="21">
        <v>-2.7069999999999999</v>
      </c>
      <c r="E39" s="21">
        <v>0.76629999999999998</v>
      </c>
      <c r="F39" s="21"/>
      <c r="G39" s="21"/>
      <c r="H39" s="21">
        <v>1.097</v>
      </c>
      <c r="I39" s="21">
        <v>5.5628000000000002</v>
      </c>
      <c r="J39" s="37">
        <v>-1.9956</v>
      </c>
      <c r="L39" s="36" t="s">
        <v>29</v>
      </c>
      <c r="M39" s="20">
        <v>2</v>
      </c>
      <c r="N39" s="21">
        <v>1.2049000000000001</v>
      </c>
      <c r="O39" s="21">
        <v>-0.15529999999999999</v>
      </c>
      <c r="P39" s="21">
        <v>1.35E-2</v>
      </c>
      <c r="S39" s="21">
        <v>1.7</v>
      </c>
      <c r="T39" s="21">
        <v>1.03</v>
      </c>
      <c r="U39" s="37">
        <v>-0.34</v>
      </c>
      <c r="W39" s="36" t="s">
        <v>29</v>
      </c>
      <c r="X39" s="20">
        <v>2</v>
      </c>
      <c r="Y39" s="20">
        <v>1.2584</v>
      </c>
      <c r="Z39" s="20">
        <v>-0.46829999999999999</v>
      </c>
      <c r="AA39" s="20">
        <v>0.108</v>
      </c>
      <c r="AD39" s="20">
        <v>1.0348999999999999</v>
      </c>
      <c r="AE39" s="20">
        <v>1.3714</v>
      </c>
      <c r="AF39" s="42">
        <v>-0.33900000000000002</v>
      </c>
      <c r="AH39" s="54"/>
      <c r="AI39" s="56">
        <v>221</v>
      </c>
      <c r="AJ39" s="54"/>
    </row>
    <row r="40" spans="1:36" ht="12.75" customHeight="1" x14ac:dyDescent="0.25">
      <c r="A40" s="36" t="s">
        <v>1</v>
      </c>
      <c r="B40" s="20">
        <v>2</v>
      </c>
      <c r="C40" s="21">
        <v>1.2563</v>
      </c>
      <c r="D40" s="21">
        <v>-0.53810000000000002</v>
      </c>
      <c r="E40" s="21">
        <v>-0.26369999999999999</v>
      </c>
      <c r="F40" s="21"/>
      <c r="G40" s="21"/>
      <c r="H40" s="21">
        <v>1.3062</v>
      </c>
      <c r="I40" s="21">
        <v>5.5677000000000003</v>
      </c>
      <c r="J40" s="37">
        <v>0.29620000000000002</v>
      </c>
      <c r="L40" s="36" t="s">
        <v>30</v>
      </c>
      <c r="M40" s="20">
        <v>5</v>
      </c>
      <c r="N40" s="21">
        <v>1.2573000000000001</v>
      </c>
      <c r="O40" s="21">
        <v>-0.2266</v>
      </c>
      <c r="P40" s="21">
        <v>-9.4399999999999998E-2</v>
      </c>
      <c r="S40" s="21">
        <v>2.2000000000000002</v>
      </c>
      <c r="T40" s="21">
        <v>4.2</v>
      </c>
      <c r="U40" s="37">
        <v>0.06</v>
      </c>
      <c r="W40" s="36" t="s">
        <v>30</v>
      </c>
      <c r="X40" s="20">
        <v>3</v>
      </c>
      <c r="Y40" s="20">
        <v>1.1840999999999999</v>
      </c>
      <c r="Z40" s="20">
        <v>-0.30059999999999998</v>
      </c>
      <c r="AA40" s="20">
        <v>-8.9200000000000002E-2</v>
      </c>
      <c r="AD40" s="20">
        <v>1.6654</v>
      </c>
      <c r="AE40" s="20">
        <v>4.4588000000000001</v>
      </c>
      <c r="AF40" s="42">
        <v>2.3300000000000001E-2</v>
      </c>
      <c r="AH40" s="54"/>
      <c r="AI40" s="56">
        <v>231</v>
      </c>
      <c r="AJ40" s="54"/>
    </row>
    <row r="41" spans="1:36" ht="12.75" customHeight="1" x14ac:dyDescent="0.25">
      <c r="A41" s="36" t="s">
        <v>2</v>
      </c>
      <c r="B41" s="20">
        <v>3</v>
      </c>
      <c r="C41" s="21">
        <v>1.1851</v>
      </c>
      <c r="D41" s="21">
        <v>6.3299999999999995E-2</v>
      </c>
      <c r="E41" s="21">
        <v>-0.41770000000000002</v>
      </c>
      <c r="F41" s="21"/>
      <c r="G41" s="21"/>
      <c r="H41" s="21">
        <v>1.5305</v>
      </c>
      <c r="I41" s="21">
        <v>2.5528</v>
      </c>
      <c r="J41" s="37">
        <v>4.8962000000000003</v>
      </c>
      <c r="L41" s="36" t="s">
        <v>31</v>
      </c>
      <c r="M41" s="20">
        <v>5</v>
      </c>
      <c r="N41" s="21">
        <v>1.2431000000000001</v>
      </c>
      <c r="O41" s="21">
        <v>-2.3E-2</v>
      </c>
      <c r="P41" s="21">
        <v>-0.34089999999999998</v>
      </c>
      <c r="S41" s="21">
        <v>0.86</v>
      </c>
      <c r="T41" s="21">
        <v>3.47</v>
      </c>
      <c r="U41" s="37">
        <v>6.21</v>
      </c>
      <c r="W41" s="36" t="s">
        <v>31</v>
      </c>
      <c r="X41" s="20">
        <v>5</v>
      </c>
      <c r="Y41" s="20">
        <v>1.2445999999999999</v>
      </c>
      <c r="Z41" s="20">
        <v>1.3100000000000001E-2</v>
      </c>
      <c r="AA41" s="20">
        <v>-0.35549999999999998</v>
      </c>
      <c r="AD41" s="20">
        <v>1.2109000000000001</v>
      </c>
      <c r="AE41" s="20">
        <v>3.3290999999999999</v>
      </c>
      <c r="AF41" s="42">
        <v>5.1402000000000001</v>
      </c>
      <c r="AH41" s="54"/>
      <c r="AI41" s="56">
        <v>241</v>
      </c>
      <c r="AJ41" s="54"/>
    </row>
    <row r="42" spans="1:36" ht="12.75" customHeight="1" x14ac:dyDescent="0.25">
      <c r="A42" s="36" t="s">
        <v>3</v>
      </c>
      <c r="B42" s="20">
        <v>5</v>
      </c>
      <c r="C42" s="21">
        <v>1.1719999999999999</v>
      </c>
      <c r="D42" s="21">
        <v>0.2341</v>
      </c>
      <c r="E42" s="21">
        <v>-0.42720000000000002</v>
      </c>
      <c r="F42" s="21"/>
      <c r="G42" s="21"/>
      <c r="H42" s="21">
        <v>1.9991000000000001</v>
      </c>
      <c r="I42" s="21">
        <v>-2.4260999999999999</v>
      </c>
      <c r="J42" s="37">
        <v>10.4282</v>
      </c>
      <c r="L42" s="36" t="s">
        <v>0</v>
      </c>
      <c r="M42" s="20">
        <v>5</v>
      </c>
      <c r="N42" s="21">
        <v>1.2468999999999999</v>
      </c>
      <c r="O42" s="21">
        <v>9.9900000000000003E-2</v>
      </c>
      <c r="P42" s="21">
        <v>-0.52669999999999995</v>
      </c>
      <c r="S42" s="21">
        <v>-1.46</v>
      </c>
      <c r="T42" s="21">
        <v>-0.69</v>
      </c>
      <c r="U42" s="37">
        <v>16.489999999999998</v>
      </c>
      <c r="W42" s="36" t="s">
        <v>0</v>
      </c>
      <c r="X42" s="20">
        <v>10</v>
      </c>
      <c r="Y42" s="20">
        <v>1.3352999999999999</v>
      </c>
      <c r="Z42" s="20">
        <v>0.1157</v>
      </c>
      <c r="AA42" s="20">
        <v>-0.52449999999999997</v>
      </c>
      <c r="AD42" s="20">
        <v>-0.53700000000000003</v>
      </c>
      <c r="AE42" s="20">
        <v>-1.7679</v>
      </c>
      <c r="AF42" s="42">
        <v>14.637</v>
      </c>
      <c r="AH42" s="54"/>
      <c r="AI42" s="56">
        <v>251</v>
      </c>
      <c r="AJ42" s="54"/>
    </row>
    <row r="43" spans="1:36" ht="12.75" customHeight="1" x14ac:dyDescent="0.25">
      <c r="A43" s="36" t="s">
        <v>4</v>
      </c>
      <c r="B43" s="20">
        <v>10</v>
      </c>
      <c r="C43" s="21">
        <v>1.1865000000000001</v>
      </c>
      <c r="D43" s="21">
        <v>0.308</v>
      </c>
      <c r="E43" s="21">
        <v>-0.44519999999999998</v>
      </c>
      <c r="F43" s="21"/>
      <c r="G43" s="21"/>
      <c r="H43" s="21">
        <v>2.7631999999999999</v>
      </c>
      <c r="I43" s="21">
        <v>-8.4064999999999994</v>
      </c>
      <c r="J43" s="37">
        <v>16.178699999999999</v>
      </c>
      <c r="L43" s="36" t="s">
        <v>1</v>
      </c>
      <c r="M43" s="20">
        <v>10</v>
      </c>
      <c r="N43" s="21">
        <v>1.4258</v>
      </c>
      <c r="O43" s="21">
        <v>0.1948</v>
      </c>
      <c r="P43" s="21">
        <v>-0.74539999999999995</v>
      </c>
      <c r="S43" s="21">
        <v>-2.97</v>
      </c>
      <c r="T43" s="21">
        <v>-5.8</v>
      </c>
      <c r="U43" s="37">
        <v>26.65</v>
      </c>
      <c r="W43" s="36" t="s">
        <v>1</v>
      </c>
      <c r="X43" s="20">
        <v>15</v>
      </c>
      <c r="Y43" s="20">
        <v>1.3875</v>
      </c>
      <c r="Z43" s="20">
        <v>-1.9300000000000001E-2</v>
      </c>
      <c r="AA43" s="20">
        <v>-0.54720000000000002</v>
      </c>
      <c r="AD43" s="20">
        <v>-2.4693999999999998</v>
      </c>
      <c r="AE43" s="20">
        <v>-3.9194</v>
      </c>
      <c r="AF43" s="42">
        <v>23.099900000000002</v>
      </c>
      <c r="AH43" s="54"/>
      <c r="AI43" s="56">
        <v>112</v>
      </c>
      <c r="AJ43" s="54"/>
    </row>
    <row r="44" spans="1:36" ht="12.75" customHeight="1" x14ac:dyDescent="0.25">
      <c r="A44" s="36" t="s">
        <v>5</v>
      </c>
      <c r="B44" s="20">
        <v>15</v>
      </c>
      <c r="C44" s="21">
        <v>1.1746000000000001</v>
      </c>
      <c r="D44" s="21">
        <v>0.33139999999999997</v>
      </c>
      <c r="E44" s="21">
        <v>-0.45369999999999999</v>
      </c>
      <c r="F44" s="21"/>
      <c r="G44" s="21"/>
      <c r="H44" s="21">
        <v>4.3468</v>
      </c>
      <c r="I44" s="21">
        <v>-13.243600000000001</v>
      </c>
      <c r="J44" s="37">
        <v>20.199000000000002</v>
      </c>
      <c r="L44" s="44"/>
      <c r="M44" s="45"/>
      <c r="N44" s="45"/>
      <c r="O44" s="45"/>
      <c r="P44" s="45"/>
      <c r="Q44" s="45"/>
      <c r="R44" s="45"/>
      <c r="S44" s="45"/>
      <c r="T44" s="45"/>
      <c r="U44" s="46"/>
      <c r="W44" s="44" t="s">
        <v>2</v>
      </c>
      <c r="X44" s="45">
        <v>20</v>
      </c>
      <c r="Y44" s="45">
        <v>1.4227000000000001</v>
      </c>
      <c r="Z44" s="45">
        <v>-0.19539999999999999</v>
      </c>
      <c r="AA44" s="45">
        <v>-0.51270000000000004</v>
      </c>
      <c r="AB44" s="45"/>
      <c r="AC44" s="45"/>
      <c r="AD44" s="45">
        <v>-2.2107000000000001</v>
      </c>
      <c r="AE44" s="45">
        <v>1.3059000000000001</v>
      </c>
      <c r="AF44" s="46">
        <v>24.447900000000001</v>
      </c>
      <c r="AH44" s="54"/>
      <c r="AI44" s="56">
        <v>122</v>
      </c>
      <c r="AJ44" s="54"/>
    </row>
    <row r="45" spans="1:36" ht="12.75" customHeight="1" x14ac:dyDescent="0.25">
      <c r="A45" s="36" t="s">
        <v>6</v>
      </c>
      <c r="B45" s="20">
        <v>20</v>
      </c>
      <c r="C45" s="21">
        <v>1.1638999999999999</v>
      </c>
      <c r="D45" s="21">
        <v>0.31900000000000001</v>
      </c>
      <c r="E45" s="21">
        <v>-0.44350000000000001</v>
      </c>
      <c r="F45" s="21"/>
      <c r="G45" s="21"/>
      <c r="H45" s="21">
        <v>7.5242000000000004</v>
      </c>
      <c r="I45" s="21">
        <v>-14.2013</v>
      </c>
      <c r="J45" s="37">
        <v>20.016200000000001</v>
      </c>
      <c r="AH45" s="54"/>
      <c r="AI45" s="56">
        <v>132</v>
      </c>
      <c r="AJ45" s="54"/>
    </row>
    <row r="46" spans="1:36" ht="12.75" customHeight="1" x14ac:dyDescent="0.25">
      <c r="A46" s="36"/>
      <c r="J46" s="42"/>
      <c r="AH46" s="54"/>
      <c r="AI46" s="56">
        <v>142</v>
      </c>
      <c r="AJ46" s="54"/>
    </row>
    <row r="47" spans="1:36" ht="12.75" customHeight="1" x14ac:dyDescent="0.25">
      <c r="A47" s="36"/>
      <c r="J47" s="42"/>
      <c r="AH47" s="54"/>
      <c r="AI47" s="56">
        <v>113</v>
      </c>
      <c r="AJ47" s="54"/>
    </row>
    <row r="48" spans="1:36" ht="12.75" customHeight="1" x14ac:dyDescent="0.25">
      <c r="A48" s="167" t="s">
        <v>21</v>
      </c>
      <c r="B48" s="167"/>
      <c r="C48" s="167"/>
      <c r="D48" s="167"/>
      <c r="E48" s="167"/>
      <c r="F48" s="167"/>
      <c r="G48" s="167"/>
      <c r="H48" s="167"/>
      <c r="I48" s="167"/>
      <c r="J48" s="168"/>
      <c r="AH48" s="54"/>
      <c r="AI48" s="56">
        <v>123</v>
      </c>
      <c r="AJ48" s="54"/>
    </row>
    <row r="49" spans="1:36" ht="12.75" customHeight="1" x14ac:dyDescent="0.25">
      <c r="A49" s="51" t="s">
        <v>53</v>
      </c>
      <c r="B49" s="52" t="s">
        <v>28</v>
      </c>
      <c r="C49" s="26" t="s">
        <v>8</v>
      </c>
      <c r="D49" s="26" t="s">
        <v>9</v>
      </c>
      <c r="E49" s="26" t="s">
        <v>10</v>
      </c>
      <c r="F49" s="26" t="s">
        <v>11</v>
      </c>
      <c r="G49" s="26"/>
      <c r="H49" s="26" t="s">
        <v>12</v>
      </c>
      <c r="I49" s="26" t="s">
        <v>13</v>
      </c>
      <c r="J49" s="53" t="s">
        <v>14</v>
      </c>
      <c r="AH49" s="54"/>
      <c r="AI49" s="56">
        <v>133</v>
      </c>
      <c r="AJ49" s="54"/>
    </row>
    <row r="50" spans="1:36" ht="12.75" customHeight="1" x14ac:dyDescent="0.25">
      <c r="A50" s="36" t="s">
        <v>0</v>
      </c>
      <c r="B50" s="20">
        <v>1</v>
      </c>
      <c r="C50" s="21">
        <v>0.68920000000000003</v>
      </c>
      <c r="D50" s="21">
        <v>-1.6937</v>
      </c>
      <c r="E50" s="21">
        <v>0.64639999999999997</v>
      </c>
      <c r="F50" s="21">
        <v>1.06E-2</v>
      </c>
      <c r="H50" s="21">
        <v>1.1702999999999999</v>
      </c>
      <c r="I50" s="21">
        <v>0.51290000000000002</v>
      </c>
      <c r="J50" s="37">
        <v>-0.38500000000000001</v>
      </c>
      <c r="AH50" s="54"/>
      <c r="AI50" s="57">
        <v>143</v>
      </c>
      <c r="AJ50" s="54"/>
    </row>
    <row r="51" spans="1:36" ht="12.75" customHeight="1" x14ac:dyDescent="0.25">
      <c r="A51" s="36" t="s">
        <v>1</v>
      </c>
      <c r="B51" s="20">
        <v>2</v>
      </c>
      <c r="C51" s="21">
        <v>1.3625</v>
      </c>
      <c r="D51" s="21">
        <v>-0.37780000000000002</v>
      </c>
      <c r="E51" s="21">
        <v>-0.28920000000000001</v>
      </c>
      <c r="F51" s="21">
        <v>-4.1000000000000003E-3</v>
      </c>
      <c r="H51" s="21">
        <v>1.6955</v>
      </c>
      <c r="I51" s="21">
        <v>4.1319999999999997</v>
      </c>
      <c r="J51" s="37">
        <v>-0.16350000000000001</v>
      </c>
      <c r="AH51" s="54"/>
      <c r="AI51" s="54"/>
      <c r="AJ51" s="54"/>
    </row>
    <row r="52" spans="1:36" ht="12.75" customHeight="1" x14ac:dyDescent="0.25">
      <c r="A52" s="36" t="s">
        <v>2</v>
      </c>
      <c r="B52" s="20">
        <v>3</v>
      </c>
      <c r="C52" s="21">
        <v>1.0876999999999999</v>
      </c>
      <c r="D52" s="21">
        <v>1.9699999999999999E-2</v>
      </c>
      <c r="E52" s="21">
        <v>-0.29859999999999998</v>
      </c>
      <c r="F52" s="21">
        <v>2.3999999999999998E-3</v>
      </c>
      <c r="H52" s="21">
        <v>1.8295999999999999</v>
      </c>
      <c r="I52" s="21">
        <v>2.9020000000000001</v>
      </c>
      <c r="J52" s="37">
        <v>3.4706999999999999</v>
      </c>
    </row>
    <row r="53" spans="1:36" ht="12.75" customHeight="1" x14ac:dyDescent="0.25">
      <c r="A53" s="36" t="s">
        <v>3</v>
      </c>
      <c r="B53" s="20">
        <v>5</v>
      </c>
      <c r="C53" s="21">
        <v>0.75</v>
      </c>
      <c r="D53" s="21">
        <v>5.3199999999999997E-2</v>
      </c>
      <c r="E53" s="21">
        <v>-0.1106</v>
      </c>
      <c r="F53" s="21">
        <v>1.15E-2</v>
      </c>
      <c r="H53" s="21">
        <v>2.1783000000000001</v>
      </c>
      <c r="I53" s="21">
        <v>-2.5688</v>
      </c>
      <c r="J53" s="37">
        <v>9.0883000000000003</v>
      </c>
    </row>
    <row r="54" spans="1:36" ht="12.75" customHeight="1" x14ac:dyDescent="0.25">
      <c r="A54" s="36" t="s">
        <v>4</v>
      </c>
      <c r="B54" s="20">
        <v>10</v>
      </c>
      <c r="C54" s="21">
        <v>0.5605</v>
      </c>
      <c r="D54" s="21">
        <v>2.2200000000000001E-2</v>
      </c>
      <c r="E54" s="21">
        <v>1.7000000000000001E-2</v>
      </c>
      <c r="F54" s="21">
        <v>1.7100000000000001E-2</v>
      </c>
      <c r="H54" s="21">
        <v>2.8835999999999999</v>
      </c>
      <c r="I54" s="21">
        <v>-10.328200000000001</v>
      </c>
      <c r="J54" s="37">
        <v>15.430099999999999</v>
      </c>
    </row>
    <row r="55" spans="1:36" ht="12.75" customHeight="1" x14ac:dyDescent="0.25">
      <c r="A55" s="36" t="s">
        <v>5</v>
      </c>
      <c r="B55" s="20">
        <v>15</v>
      </c>
      <c r="C55" s="21">
        <v>0.50239999999999996</v>
      </c>
      <c r="D55" s="21">
        <v>2.8E-3</v>
      </c>
      <c r="E55" s="21">
        <v>4.7999999999999996E-3</v>
      </c>
      <c r="F55" s="21">
        <v>1.7999999999999999E-2</v>
      </c>
      <c r="H55" s="21">
        <v>4.4580000000000002</v>
      </c>
      <c r="I55" s="21">
        <v>-17.180900000000001</v>
      </c>
      <c r="J55" s="37">
        <v>20.429600000000001</v>
      </c>
    </row>
    <row r="56" spans="1:36" ht="12.75" customHeight="1" x14ac:dyDescent="0.25">
      <c r="A56" s="36" t="s">
        <v>6</v>
      </c>
      <c r="B56" s="20">
        <v>20</v>
      </c>
      <c r="C56" s="21">
        <v>0.53259999999999996</v>
      </c>
      <c r="D56" s="21">
        <v>5.1999999999999998E-3</v>
      </c>
      <c r="E56" s="21">
        <v>2.5600000000000001E-2</v>
      </c>
      <c r="F56" s="21">
        <v>1.6799999999999999E-2</v>
      </c>
      <c r="H56" s="21">
        <v>6.9351000000000003</v>
      </c>
      <c r="I56" s="21">
        <v>-19.3871</v>
      </c>
      <c r="J56" s="37">
        <v>23.400700000000001</v>
      </c>
    </row>
    <row r="57" spans="1:36" ht="12.75" customHeight="1" x14ac:dyDescent="0.25">
      <c r="A57" s="36"/>
      <c r="J57" s="42"/>
    </row>
    <row r="58" spans="1:36" ht="12.75" customHeight="1" x14ac:dyDescent="0.25">
      <c r="A58" s="36"/>
      <c r="J58" s="42"/>
    </row>
    <row r="59" spans="1:36" ht="12.75" customHeight="1" x14ac:dyDescent="0.25">
      <c r="A59" s="167" t="s">
        <v>22</v>
      </c>
      <c r="B59" s="167"/>
      <c r="C59" s="167" t="s">
        <v>22</v>
      </c>
      <c r="D59" s="167"/>
      <c r="E59" s="167"/>
      <c r="F59" s="167"/>
      <c r="G59" s="167"/>
      <c r="H59" s="167"/>
      <c r="I59" s="167"/>
      <c r="J59" s="168"/>
    </row>
    <row r="60" spans="1:36" ht="12.75" customHeight="1" x14ac:dyDescent="0.25">
      <c r="A60" s="51" t="s">
        <v>53</v>
      </c>
      <c r="B60" s="52" t="s">
        <v>28</v>
      </c>
      <c r="C60" s="26" t="s">
        <v>8</v>
      </c>
      <c r="D60" s="26" t="s">
        <v>9</v>
      </c>
      <c r="E60" s="26" t="s">
        <v>10</v>
      </c>
      <c r="F60" s="26" t="s">
        <v>11</v>
      </c>
      <c r="G60" s="26"/>
      <c r="H60" s="26" t="s">
        <v>12</v>
      </c>
      <c r="I60" s="26" t="s">
        <v>13</v>
      </c>
      <c r="J60" s="53" t="s">
        <v>14</v>
      </c>
    </row>
    <row r="61" spans="1:36" ht="12.75" customHeight="1" x14ac:dyDescent="0.25">
      <c r="A61" s="36" t="s">
        <v>0</v>
      </c>
      <c r="B61" s="20">
        <v>1</v>
      </c>
      <c r="C61" s="21">
        <v>0.82740000000000002</v>
      </c>
      <c r="D61" s="21">
        <v>-1.5853999999999999</v>
      </c>
      <c r="E61" s="21">
        <v>0.59489999999999998</v>
      </c>
      <c r="F61" s="21">
        <v>9.7000000000000003E-3</v>
      </c>
      <c r="G61" s="21"/>
      <c r="H61" s="21">
        <v>1.3091999999999999</v>
      </c>
      <c r="I61" s="21">
        <v>1.9474</v>
      </c>
      <c r="J61" s="37">
        <v>-0.79820000000000002</v>
      </c>
    </row>
    <row r="62" spans="1:36" ht="12.75" customHeight="1" x14ac:dyDescent="0.25">
      <c r="A62" s="36" t="s">
        <v>1</v>
      </c>
      <c r="B62" s="20">
        <v>2</v>
      </c>
      <c r="C62" s="21">
        <v>1.3129</v>
      </c>
      <c r="D62" s="21">
        <v>-0.2457</v>
      </c>
      <c r="E62" s="21">
        <v>-0.2329</v>
      </c>
      <c r="F62" s="21">
        <v>-3.0999999999999999E-3</v>
      </c>
      <c r="G62" s="21"/>
      <c r="H62" s="21">
        <v>1.6897</v>
      </c>
      <c r="I62" s="21">
        <v>4.6176000000000004</v>
      </c>
      <c r="J62" s="37">
        <v>-1.7299999999999999E-2</v>
      </c>
    </row>
    <row r="63" spans="1:36" ht="12.75" customHeight="1" x14ac:dyDescent="0.25">
      <c r="A63" s="36" t="s">
        <v>2</v>
      </c>
      <c r="B63" s="20">
        <v>3</v>
      </c>
      <c r="C63" s="21">
        <v>1.0631999999999999</v>
      </c>
      <c r="D63" s="21">
        <v>1.9599999999999999E-2</v>
      </c>
      <c r="E63" s="21">
        <v>-0.1996</v>
      </c>
      <c r="F63" s="21">
        <v>2.0999999999999999E-3</v>
      </c>
      <c r="G63" s="21"/>
      <c r="H63" s="21">
        <v>1.8368</v>
      </c>
      <c r="I63" s="21">
        <v>2.637</v>
      </c>
      <c r="J63" s="37">
        <v>4.0305</v>
      </c>
    </row>
    <row r="64" spans="1:36" ht="12.75" customHeight="1" x14ac:dyDescent="0.25">
      <c r="A64" s="36" t="s">
        <v>3</v>
      </c>
      <c r="B64" s="20">
        <v>5</v>
      </c>
      <c r="C64" s="21">
        <v>0.8236</v>
      </c>
      <c r="D64" s="21">
        <v>2.93E-2</v>
      </c>
      <c r="E64" s="21">
        <v>-6.8400000000000002E-2</v>
      </c>
      <c r="F64" s="21">
        <v>8.0999999999999996E-3</v>
      </c>
      <c r="G64" s="21"/>
      <c r="H64" s="21">
        <v>2.2035999999999998</v>
      </c>
      <c r="I64" s="21">
        <v>-3.3519999999999999</v>
      </c>
      <c r="J64" s="37">
        <v>9.9232999999999993</v>
      </c>
    </row>
    <row r="65" spans="1:10" ht="12.75" customHeight="1" x14ac:dyDescent="0.25">
      <c r="A65" s="36" t="s">
        <v>4</v>
      </c>
      <c r="B65" s="20">
        <v>10</v>
      </c>
      <c r="C65" s="21">
        <v>0.6895</v>
      </c>
      <c r="D65" s="21">
        <v>6.7999999999999996E-3</v>
      </c>
      <c r="E65" s="21">
        <v>3.2000000000000002E-3</v>
      </c>
      <c r="F65" s="21">
        <v>1.1900000000000001E-2</v>
      </c>
      <c r="G65" s="21"/>
      <c r="H65" s="21">
        <v>2.9954999999999998</v>
      </c>
      <c r="I65" s="21">
        <v>-11.401300000000001</v>
      </c>
      <c r="J65" s="37">
        <v>16.344100000000001</v>
      </c>
    </row>
    <row r="66" spans="1:10" ht="12.75" customHeight="1" x14ac:dyDescent="0.25">
      <c r="A66" s="36" t="s">
        <v>5</v>
      </c>
      <c r="B66" s="20">
        <v>15</v>
      </c>
      <c r="C66" s="21">
        <v>0.60980000000000001</v>
      </c>
      <c r="D66" s="21">
        <v>-1.4E-3</v>
      </c>
      <c r="E66" s="21">
        <v>1.66E-2</v>
      </c>
      <c r="F66" s="21">
        <v>1.41E-2</v>
      </c>
      <c r="G66" s="21"/>
      <c r="H66" s="21">
        <v>4.7733999999999996</v>
      </c>
      <c r="I66" s="21">
        <v>-17.885000000000002</v>
      </c>
      <c r="J66" s="37">
        <v>20.888300000000001</v>
      </c>
    </row>
    <row r="67" spans="1:10" ht="12.75" customHeight="1" x14ac:dyDescent="0.25">
      <c r="A67" s="36" t="s">
        <v>6</v>
      </c>
      <c r="B67" s="20">
        <v>20</v>
      </c>
      <c r="C67" s="21">
        <v>0.5615</v>
      </c>
      <c r="D67" s="21">
        <v>4.0000000000000001E-3</v>
      </c>
      <c r="E67" s="21">
        <v>7.3000000000000001E-3</v>
      </c>
      <c r="F67" s="21">
        <v>1.5900000000000001E-2</v>
      </c>
      <c r="G67" s="21"/>
      <c r="H67" s="21">
        <v>7.4494999999999996</v>
      </c>
      <c r="I67" s="21">
        <v>-19.051300000000001</v>
      </c>
      <c r="J67" s="37">
        <v>23.052900000000001</v>
      </c>
    </row>
    <row r="68" spans="1:10" ht="12.75" customHeight="1" x14ac:dyDescent="0.25">
      <c r="A68" s="36"/>
      <c r="J68" s="42"/>
    </row>
    <row r="69" spans="1:10" ht="12.75" customHeight="1" x14ac:dyDescent="0.25">
      <c r="A69" s="36"/>
      <c r="J69" s="42"/>
    </row>
    <row r="70" spans="1:10" ht="12.75" customHeight="1" x14ac:dyDescent="0.25">
      <c r="A70" s="167" t="s">
        <v>23</v>
      </c>
      <c r="B70" s="167"/>
      <c r="C70" s="167"/>
      <c r="D70" s="167"/>
      <c r="E70" s="167"/>
      <c r="F70" s="167"/>
      <c r="G70" s="167"/>
      <c r="H70" s="167"/>
      <c r="I70" s="167"/>
      <c r="J70" s="168"/>
    </row>
    <row r="71" spans="1:10" ht="12.75" customHeight="1" x14ac:dyDescent="0.25">
      <c r="A71" s="51" t="s">
        <v>53</v>
      </c>
      <c r="B71" s="52" t="s">
        <v>28</v>
      </c>
      <c r="C71" s="26" t="s">
        <v>8</v>
      </c>
      <c r="D71" s="26" t="s">
        <v>9</v>
      </c>
      <c r="E71" s="26" t="s">
        <v>10</v>
      </c>
      <c r="F71" s="26" t="s">
        <v>11</v>
      </c>
      <c r="G71" s="26"/>
      <c r="H71" s="26" t="s">
        <v>12</v>
      </c>
      <c r="I71" s="26" t="s">
        <v>13</v>
      </c>
      <c r="J71" s="53" t="s">
        <v>14</v>
      </c>
    </row>
    <row r="72" spans="1:10" ht="12.75" customHeight="1" x14ac:dyDescent="0.25">
      <c r="A72" s="36" t="s">
        <v>0</v>
      </c>
      <c r="B72" s="20">
        <v>1</v>
      </c>
      <c r="C72" s="21">
        <v>0.67490000000000006</v>
      </c>
      <c r="D72" s="21">
        <v>-1.758</v>
      </c>
      <c r="E72" s="21">
        <v>0.68049999999999999</v>
      </c>
      <c r="F72" s="21">
        <v>1.09E-2</v>
      </c>
      <c r="G72" s="21"/>
      <c r="H72" s="21">
        <v>1.1921999999999999</v>
      </c>
      <c r="I72" s="21">
        <v>0.79400000000000004</v>
      </c>
      <c r="J72" s="37">
        <v>-0.54249999999999998</v>
      </c>
    </row>
    <row r="73" spans="1:10" ht="12.75" customHeight="1" x14ac:dyDescent="0.25">
      <c r="A73" s="36" t="s">
        <v>1</v>
      </c>
      <c r="B73" s="20">
        <v>2</v>
      </c>
      <c r="C73" s="21">
        <v>1.3715999999999999</v>
      </c>
      <c r="D73" s="21">
        <v>-0.36520000000000002</v>
      </c>
      <c r="E73" s="21">
        <v>-0.29659999999999997</v>
      </c>
      <c r="F73" s="21">
        <v>-4.1000000000000003E-3</v>
      </c>
      <c r="G73" s="21"/>
      <c r="H73" s="21">
        <v>1.7173</v>
      </c>
      <c r="I73" s="21">
        <v>4.3117000000000001</v>
      </c>
      <c r="J73" s="37">
        <v>-0.1653</v>
      </c>
    </row>
    <row r="74" spans="1:10" ht="12.75" customHeight="1" x14ac:dyDescent="0.25">
      <c r="A74" s="36" t="s">
        <v>2</v>
      </c>
      <c r="B74" s="20">
        <v>3</v>
      </c>
      <c r="C74" s="21">
        <v>1.0899000000000001</v>
      </c>
      <c r="D74" s="21">
        <v>2.9899999999999999E-2</v>
      </c>
      <c r="E74" s="21">
        <v>-0.28870000000000001</v>
      </c>
      <c r="F74" s="21">
        <v>2.3999999999999998E-3</v>
      </c>
      <c r="G74" s="21"/>
      <c r="H74" s="21">
        <v>1.8631</v>
      </c>
      <c r="I74" s="21">
        <v>2.8767</v>
      </c>
      <c r="J74" s="37">
        <v>3.5848</v>
      </c>
    </row>
    <row r="75" spans="1:10" ht="12.75" customHeight="1" x14ac:dyDescent="0.25">
      <c r="A75" s="36" t="s">
        <v>3</v>
      </c>
      <c r="B75" s="20">
        <v>5</v>
      </c>
      <c r="C75" s="21">
        <v>0.76939999999999997</v>
      </c>
      <c r="D75" s="21">
        <v>5.4800000000000001E-2</v>
      </c>
      <c r="E75" s="21">
        <v>-9.3399999999999997E-2</v>
      </c>
      <c r="F75" s="21">
        <v>1.0800000000000001E-2</v>
      </c>
      <c r="G75" s="21"/>
      <c r="H75" s="21">
        <v>2.1808000000000001</v>
      </c>
      <c r="I75" s="21">
        <v>-2.7219000000000002</v>
      </c>
      <c r="J75" s="37">
        <v>9.3704999999999998</v>
      </c>
    </row>
    <row r="76" spans="1:10" ht="12.75" customHeight="1" x14ac:dyDescent="0.25">
      <c r="A76" s="36" t="s">
        <v>4</v>
      </c>
      <c r="B76" s="20">
        <v>10</v>
      </c>
      <c r="C76" s="21">
        <v>0.61560000000000004</v>
      </c>
      <c r="D76" s="21">
        <v>2.3099999999999999E-2</v>
      </c>
      <c r="E76" s="21">
        <v>2.98E-2</v>
      </c>
      <c r="F76" s="21">
        <v>1.49E-2</v>
      </c>
      <c r="G76" s="21"/>
      <c r="H76" s="21">
        <v>2.7654000000000001</v>
      </c>
      <c r="I76" s="21">
        <v>-10.880800000000001</v>
      </c>
      <c r="J76" s="37">
        <v>16.2255</v>
      </c>
    </row>
    <row r="77" spans="1:10" ht="12.75" customHeight="1" x14ac:dyDescent="0.25">
      <c r="A77" s="36" t="s">
        <v>5</v>
      </c>
      <c r="B77" s="20">
        <v>15</v>
      </c>
      <c r="C77" s="21">
        <v>0.60770000000000002</v>
      </c>
      <c r="D77" s="21">
        <v>4.0000000000000001E-3</v>
      </c>
      <c r="E77" s="21">
        <v>5.7299999999999997E-2</v>
      </c>
      <c r="F77" s="21">
        <v>1.41E-2</v>
      </c>
      <c r="G77" s="21"/>
      <c r="H77" s="21">
        <v>4.1378000000000004</v>
      </c>
      <c r="I77" s="21">
        <v>-18.6219</v>
      </c>
      <c r="J77" s="37">
        <v>22.239000000000001</v>
      </c>
    </row>
    <row r="78" spans="1:10" ht="12.75" customHeight="1" x14ac:dyDescent="0.25">
      <c r="A78" s="36" t="s">
        <v>6</v>
      </c>
      <c r="B78" s="20">
        <v>20</v>
      </c>
      <c r="C78" s="21">
        <v>0.69520000000000004</v>
      </c>
      <c r="D78" s="21">
        <v>1.8E-3</v>
      </c>
      <c r="E78" s="21">
        <v>3.0599999999999999E-2</v>
      </c>
      <c r="F78" s="21">
        <v>1.09E-2</v>
      </c>
      <c r="G78" s="21"/>
      <c r="H78" s="21">
        <v>6.4885000000000002</v>
      </c>
      <c r="I78" s="21">
        <v>-22.200099999999999</v>
      </c>
      <c r="J78" s="37">
        <v>26.491099999999999</v>
      </c>
    </row>
    <row r="79" spans="1:10" ht="12.75" customHeight="1" x14ac:dyDescent="0.25">
      <c r="A79" s="36"/>
      <c r="J79" s="42"/>
    </row>
    <row r="80" spans="1:10" ht="12.75" customHeight="1" x14ac:dyDescent="0.25">
      <c r="A80" s="36"/>
      <c r="J80" s="42"/>
    </row>
    <row r="81" spans="1:10" ht="12.75" customHeight="1" x14ac:dyDescent="0.25">
      <c r="A81" s="167" t="s">
        <v>24</v>
      </c>
      <c r="B81" s="167"/>
      <c r="C81" s="167"/>
      <c r="D81" s="167"/>
      <c r="E81" s="167"/>
      <c r="F81" s="167"/>
      <c r="G81" s="167"/>
      <c r="H81" s="167"/>
      <c r="I81" s="167"/>
      <c r="J81" s="168"/>
    </row>
    <row r="82" spans="1:10" ht="12.75" customHeight="1" x14ac:dyDescent="0.25">
      <c r="A82" s="51" t="s">
        <v>53</v>
      </c>
      <c r="B82" s="52" t="s">
        <v>28</v>
      </c>
      <c r="C82" s="26" t="s">
        <v>8</v>
      </c>
      <c r="D82" s="26" t="s">
        <v>9</v>
      </c>
      <c r="E82" s="26" t="s">
        <v>10</v>
      </c>
      <c r="F82" s="26" t="s">
        <v>11</v>
      </c>
      <c r="G82" s="26"/>
      <c r="H82" s="26" t="s">
        <v>12</v>
      </c>
      <c r="I82" s="26" t="s">
        <v>13</v>
      </c>
      <c r="J82" s="53" t="s">
        <v>14</v>
      </c>
    </row>
    <row r="83" spans="1:10" ht="12.75" customHeight="1" x14ac:dyDescent="0.25">
      <c r="A83" s="36" t="s">
        <v>0</v>
      </c>
      <c r="B83" s="20">
        <v>1</v>
      </c>
      <c r="C83" s="20">
        <v>0.71940000000000004</v>
      </c>
      <c r="D83" s="20">
        <v>-1.3143</v>
      </c>
      <c r="E83" s="20">
        <v>0.54320000000000002</v>
      </c>
      <c r="F83" s="20">
        <v>9.2999999999999992E-3</v>
      </c>
      <c r="H83" s="20">
        <v>1.2779</v>
      </c>
      <c r="I83" s="20">
        <v>1.5713999999999999</v>
      </c>
      <c r="J83" s="42">
        <v>-0.69940000000000002</v>
      </c>
    </row>
    <row r="84" spans="1:10" ht="12.75" customHeight="1" x14ac:dyDescent="0.25">
      <c r="A84" s="36" t="s">
        <v>1</v>
      </c>
      <c r="B84" s="20">
        <v>2</v>
      </c>
      <c r="C84" s="20">
        <v>1.2670999999999999</v>
      </c>
      <c r="D84" s="20">
        <v>-0.29959999999999998</v>
      </c>
      <c r="E84" s="20">
        <v>-0.21049999999999999</v>
      </c>
      <c r="F84" s="20">
        <v>-2.8999999999999998E-3</v>
      </c>
      <c r="H84" s="20">
        <v>1.7471000000000001</v>
      </c>
      <c r="I84" s="20">
        <v>4.2637999999999998</v>
      </c>
      <c r="J84" s="42">
        <v>-7.5200000000000003E-2</v>
      </c>
    </row>
    <row r="85" spans="1:10" ht="12.75" customHeight="1" x14ac:dyDescent="0.25">
      <c r="A85" s="36" t="s">
        <v>2</v>
      </c>
      <c r="B85" s="20">
        <v>3</v>
      </c>
      <c r="C85" s="20">
        <v>1.0668</v>
      </c>
      <c r="D85" s="20">
        <v>1.6999999999999999E-3</v>
      </c>
      <c r="E85" s="20">
        <v>-0.2424</v>
      </c>
      <c r="F85" s="20">
        <v>1.9E-3</v>
      </c>
      <c r="H85" s="20">
        <v>1.9107000000000001</v>
      </c>
      <c r="I85" s="20">
        <v>2.7284999999999999</v>
      </c>
      <c r="J85" s="42">
        <v>3.5880999999999998</v>
      </c>
    </row>
    <row r="86" spans="1:10" ht="12.75" customHeight="1" x14ac:dyDescent="0.25">
      <c r="A86" s="36" t="s">
        <v>3</v>
      </c>
      <c r="B86" s="20">
        <v>5</v>
      </c>
      <c r="C86" s="20">
        <v>0.7833</v>
      </c>
      <c r="D86" s="20">
        <v>3.0700000000000002E-2</v>
      </c>
      <c r="E86" s="20">
        <v>-0.1103</v>
      </c>
      <c r="F86" s="20">
        <v>9.7999999999999997E-3</v>
      </c>
      <c r="H86" s="20">
        <v>2.3172000000000001</v>
      </c>
      <c r="I86" s="20">
        <v>-2.6259000000000001</v>
      </c>
      <c r="J86" s="42">
        <v>9.0237999999999996</v>
      </c>
    </row>
    <row r="87" spans="1:10" ht="12.75" customHeight="1" x14ac:dyDescent="0.25">
      <c r="A87" s="36" t="s">
        <v>4</v>
      </c>
      <c r="B87" s="20">
        <v>10</v>
      </c>
      <c r="C87" s="20">
        <v>0.57650000000000001</v>
      </c>
      <c r="D87" s="20">
        <v>6.7999999999999996E-3</v>
      </c>
      <c r="E87" s="20">
        <v>-2.0199999999999999E-2</v>
      </c>
      <c r="F87" s="20">
        <v>1.6500000000000001E-2</v>
      </c>
      <c r="H87" s="20">
        <v>3.2086999999999999</v>
      </c>
      <c r="I87" s="20">
        <v>-9.8890999999999991</v>
      </c>
      <c r="J87" s="42">
        <v>14.7339</v>
      </c>
    </row>
    <row r="88" spans="1:10" ht="12.75" customHeight="1" x14ac:dyDescent="0.25">
      <c r="A88" s="36" t="s">
        <v>5</v>
      </c>
      <c r="B88" s="20">
        <v>15</v>
      </c>
      <c r="C88" s="20">
        <v>0.41149999999999998</v>
      </c>
      <c r="D88" s="20">
        <v>1.4E-3</v>
      </c>
      <c r="E88" s="20">
        <v>8.3000000000000001E-3</v>
      </c>
      <c r="F88" s="20">
        <v>2.1299999999999999E-2</v>
      </c>
      <c r="H88" s="20">
        <v>5.1140999999999996</v>
      </c>
      <c r="I88" s="20">
        <v>-15.3263</v>
      </c>
      <c r="J88" s="42">
        <v>18.250699999999998</v>
      </c>
    </row>
    <row r="89" spans="1:10" ht="12.75" customHeight="1" x14ac:dyDescent="0.25">
      <c r="A89" s="36" t="s">
        <v>6</v>
      </c>
      <c r="B89" s="20">
        <v>20</v>
      </c>
      <c r="C89" s="20">
        <v>0.30709999999999998</v>
      </c>
      <c r="D89" s="20">
        <v>1.11E-2</v>
      </c>
      <c r="E89" s="20">
        <v>1.29E-2</v>
      </c>
      <c r="F89" s="20">
        <v>2.5100000000000001E-2</v>
      </c>
      <c r="H89" s="20">
        <v>7.6383000000000001</v>
      </c>
      <c r="I89" s="20">
        <v>-15.5739</v>
      </c>
      <c r="J89" s="42">
        <v>19.7669</v>
      </c>
    </row>
    <row r="90" spans="1:10" ht="12.75" customHeight="1" x14ac:dyDescent="0.25">
      <c r="A90" s="36"/>
      <c r="J90" s="42"/>
    </row>
    <row r="91" spans="1:10" ht="12.75" customHeight="1" x14ac:dyDescent="0.25">
      <c r="A91" s="36"/>
      <c r="J91" s="42"/>
    </row>
    <row r="92" spans="1:10" ht="12.75" customHeight="1" x14ac:dyDescent="0.25">
      <c r="A92" s="167" t="s">
        <v>25</v>
      </c>
      <c r="B92" s="167"/>
      <c r="C92" s="167"/>
      <c r="D92" s="167"/>
      <c r="E92" s="167"/>
      <c r="F92" s="167"/>
      <c r="G92" s="167"/>
      <c r="H92" s="167"/>
      <c r="I92" s="167"/>
      <c r="J92" s="168"/>
    </row>
    <row r="93" spans="1:10" ht="12.75" customHeight="1" x14ac:dyDescent="0.25">
      <c r="A93" s="51" t="s">
        <v>53</v>
      </c>
      <c r="B93" s="52" t="s">
        <v>28</v>
      </c>
      <c r="C93" s="26" t="s">
        <v>8</v>
      </c>
      <c r="D93" s="26" t="s">
        <v>9</v>
      </c>
      <c r="E93" s="26" t="s">
        <v>10</v>
      </c>
      <c r="F93" s="26" t="s">
        <v>11</v>
      </c>
      <c r="G93" s="26"/>
      <c r="H93" s="26" t="s">
        <v>12</v>
      </c>
      <c r="I93" s="26" t="s">
        <v>13</v>
      </c>
      <c r="J93" s="53" t="s">
        <v>14</v>
      </c>
    </row>
    <row r="94" spans="1:10" ht="12.75" customHeight="1" x14ac:dyDescent="0.25">
      <c r="A94" s="36" t="s">
        <v>0</v>
      </c>
      <c r="B94" s="20">
        <v>1</v>
      </c>
      <c r="C94" s="21">
        <v>0.72099999999999997</v>
      </c>
      <c r="D94" s="21">
        <v>-1.4685999999999999</v>
      </c>
      <c r="E94" s="21">
        <v>0.5746</v>
      </c>
      <c r="F94" s="21">
        <v>9.4999999999999998E-3</v>
      </c>
      <c r="G94" s="21"/>
      <c r="H94" s="21">
        <v>1.2136</v>
      </c>
      <c r="I94" s="21">
        <v>0.97399999999999998</v>
      </c>
      <c r="J94" s="37">
        <v>-0.52470000000000006</v>
      </c>
    </row>
    <row r="95" spans="1:10" ht="12.75" customHeight="1" x14ac:dyDescent="0.25">
      <c r="A95" s="36" t="s">
        <v>1</v>
      </c>
      <c r="B95" s="20">
        <v>2</v>
      </c>
      <c r="C95" s="21">
        <v>1.3115000000000001</v>
      </c>
      <c r="D95" s="21">
        <v>-0.33600000000000002</v>
      </c>
      <c r="E95" s="21">
        <v>-0.2475</v>
      </c>
      <c r="F95" s="21">
        <v>-3.3999999999999998E-3</v>
      </c>
      <c r="G95" s="21"/>
      <c r="H95" s="21">
        <v>1.7024999999999999</v>
      </c>
      <c r="I95" s="21">
        <v>4.1569000000000003</v>
      </c>
      <c r="J95" s="37">
        <v>-0.1232</v>
      </c>
    </row>
    <row r="96" spans="1:10" ht="12.75" customHeight="1" x14ac:dyDescent="0.25">
      <c r="A96" s="36" t="s">
        <v>2</v>
      </c>
      <c r="B96" s="20">
        <v>3</v>
      </c>
      <c r="C96" s="21">
        <v>1.0768</v>
      </c>
      <c r="D96" s="21">
        <v>1.09E-2</v>
      </c>
      <c r="E96" s="21">
        <v>-0.26950000000000002</v>
      </c>
      <c r="F96" s="21">
        <v>2.0999999999999999E-3</v>
      </c>
      <c r="G96" s="21"/>
      <c r="H96" s="21">
        <v>1.8360000000000001</v>
      </c>
      <c r="I96" s="21">
        <v>2.8632</v>
      </c>
      <c r="J96" s="37">
        <v>3.5219999999999998</v>
      </c>
    </row>
    <row r="97" spans="1:10" ht="12.75" customHeight="1" x14ac:dyDescent="0.25">
      <c r="A97" s="36" t="s">
        <v>3</v>
      </c>
      <c r="B97" s="20">
        <v>5</v>
      </c>
      <c r="C97" s="21">
        <v>0.76819999999999999</v>
      </c>
      <c r="D97" s="21">
        <v>4.3900000000000002E-2</v>
      </c>
      <c r="E97" s="21">
        <v>-0.109</v>
      </c>
      <c r="F97" s="21">
        <v>1.0500000000000001E-2</v>
      </c>
      <c r="G97" s="21"/>
      <c r="H97" s="21">
        <v>2.1882000000000001</v>
      </c>
      <c r="I97" s="21">
        <v>-2.6520999999999999</v>
      </c>
      <c r="J97" s="37">
        <v>9.1960999999999995</v>
      </c>
    </row>
    <row r="98" spans="1:10" ht="12.75" customHeight="1" x14ac:dyDescent="0.25">
      <c r="A98" s="36" t="s">
        <v>4</v>
      </c>
      <c r="B98" s="20">
        <v>10</v>
      </c>
      <c r="C98" s="21">
        <v>0.57689999999999997</v>
      </c>
      <c r="D98" s="21">
        <v>1.7600000000000001E-2</v>
      </c>
      <c r="E98" s="21">
        <v>3.8E-3</v>
      </c>
      <c r="F98" s="21">
        <v>1.6500000000000001E-2</v>
      </c>
      <c r="G98" s="21"/>
      <c r="H98" s="21">
        <v>2.9681999999999999</v>
      </c>
      <c r="I98" s="21">
        <v>-10.305300000000001</v>
      </c>
      <c r="J98" s="37">
        <v>15.3161</v>
      </c>
    </row>
    <row r="99" spans="1:10" ht="12.75" customHeight="1" x14ac:dyDescent="0.25">
      <c r="A99" s="36" t="s">
        <v>5</v>
      </c>
      <c r="B99" s="20">
        <v>15</v>
      </c>
      <c r="C99" s="21">
        <v>0.48449999999999999</v>
      </c>
      <c r="D99" s="21">
        <v>3.3999999999999998E-3</v>
      </c>
      <c r="E99" s="21">
        <v>3.5999999999999999E-3</v>
      </c>
      <c r="F99" s="21">
        <v>1.8700000000000001E-2</v>
      </c>
      <c r="G99" s="21"/>
      <c r="H99" s="21">
        <v>4.6525999999999996</v>
      </c>
      <c r="I99" s="21">
        <v>-16.692</v>
      </c>
      <c r="J99" s="37">
        <v>19.853400000000001</v>
      </c>
    </row>
    <row r="100" spans="1:10" ht="12.75" customHeight="1" x14ac:dyDescent="0.25">
      <c r="A100" s="36" t="s">
        <v>6</v>
      </c>
      <c r="B100" s="20">
        <v>20</v>
      </c>
      <c r="C100" s="21">
        <v>0.47599999999999998</v>
      </c>
      <c r="D100" s="21">
        <v>7.1000000000000004E-3</v>
      </c>
      <c r="E100" s="21">
        <v>2.46E-2</v>
      </c>
      <c r="F100" s="21">
        <v>1.89E-2</v>
      </c>
      <c r="G100" s="21"/>
      <c r="H100" s="21">
        <v>7.1425000000000001</v>
      </c>
      <c r="I100" s="21">
        <v>-18.302099999999999</v>
      </c>
      <c r="J100" s="37">
        <v>22.416799999999999</v>
      </c>
    </row>
    <row r="101" spans="1:10" ht="12.75" customHeight="1" x14ac:dyDescent="0.25">
      <c r="A101" s="44"/>
      <c r="B101" s="45"/>
      <c r="C101" s="45"/>
      <c r="D101" s="45"/>
      <c r="E101" s="45"/>
      <c r="F101" s="45"/>
      <c r="G101" s="45"/>
      <c r="H101" s="45"/>
      <c r="I101" s="45"/>
      <c r="J101" s="46"/>
    </row>
  </sheetData>
  <sheetProtection sheet="1" objects="1" scenarios="1"/>
  <mergeCells count="29">
    <mergeCell ref="A1:J1"/>
    <mergeCell ref="L1:U1"/>
    <mergeCell ref="W1:AF1"/>
    <mergeCell ref="N4:U4"/>
    <mergeCell ref="Y4:AF4"/>
    <mergeCell ref="A4:J4"/>
    <mergeCell ref="H3:J3"/>
    <mergeCell ref="C3:E3"/>
    <mergeCell ref="N3:P3"/>
    <mergeCell ref="S3:U3"/>
    <mergeCell ref="Y3:AA3"/>
    <mergeCell ref="AD3:AF3"/>
    <mergeCell ref="A92:J92"/>
    <mergeCell ref="N15:U15"/>
    <mergeCell ref="Y15:AF15"/>
    <mergeCell ref="N26:U26"/>
    <mergeCell ref="Y26:AF26"/>
    <mergeCell ref="N37:U37"/>
    <mergeCell ref="Y37:AF37"/>
    <mergeCell ref="A15:J15"/>
    <mergeCell ref="A26:J26"/>
    <mergeCell ref="A37:J37"/>
    <mergeCell ref="AM5:AV5"/>
    <mergeCell ref="A48:J48"/>
    <mergeCell ref="A59:J59"/>
    <mergeCell ref="A70:J70"/>
    <mergeCell ref="A81:J81"/>
    <mergeCell ref="AH5:AJ5"/>
    <mergeCell ref="AM15:AN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12" sqref="A12"/>
    </sheetView>
  </sheetViews>
  <sheetFormatPr baseColWidth="10" defaultColWidth="9.109375" defaultRowHeight="13.2" x14ac:dyDescent="0.25"/>
  <cols>
    <col min="1" max="1" width="10.109375" style="20" customWidth="1"/>
    <col min="2" max="30" width="10" style="20" customWidth="1"/>
    <col min="31" max="16384" width="9.109375" style="20"/>
  </cols>
  <sheetData>
    <row r="1" spans="1:28" x14ac:dyDescent="0.25">
      <c r="A1" s="20" t="s">
        <v>52</v>
      </c>
      <c r="B1" s="20" t="s">
        <v>89</v>
      </c>
    </row>
    <row r="2" spans="1:28" hidden="1" x14ac:dyDescent="0.25">
      <c r="B2" s="20">
        <v>111</v>
      </c>
      <c r="C2" s="20">
        <v>112</v>
      </c>
      <c r="D2" s="20">
        <v>113</v>
      </c>
      <c r="E2" s="20">
        <v>121</v>
      </c>
      <c r="F2" s="20">
        <v>122</v>
      </c>
      <c r="G2" s="20">
        <v>123</v>
      </c>
      <c r="H2" s="20">
        <v>131</v>
      </c>
      <c r="I2" s="20">
        <v>132</v>
      </c>
      <c r="J2" s="20">
        <v>133</v>
      </c>
      <c r="K2" s="20">
        <v>141</v>
      </c>
      <c r="L2" s="20">
        <v>142</v>
      </c>
      <c r="M2" s="20">
        <v>143</v>
      </c>
      <c r="N2" s="20">
        <v>211</v>
      </c>
      <c r="O2" s="20">
        <v>212</v>
      </c>
      <c r="P2" s="20">
        <v>213</v>
      </c>
      <c r="Q2" s="20">
        <v>221</v>
      </c>
      <c r="R2" s="20">
        <v>222</v>
      </c>
      <c r="S2" s="20">
        <v>223</v>
      </c>
      <c r="T2" s="20">
        <v>231</v>
      </c>
      <c r="U2" s="20">
        <v>232</v>
      </c>
      <c r="V2" s="20">
        <v>233</v>
      </c>
      <c r="W2" s="20">
        <v>241</v>
      </c>
      <c r="X2" s="20">
        <v>242</v>
      </c>
      <c r="Y2" s="20">
        <v>243</v>
      </c>
      <c r="Z2" s="20">
        <v>251</v>
      </c>
      <c r="AA2" s="20">
        <v>252</v>
      </c>
      <c r="AB2" s="20">
        <v>253</v>
      </c>
    </row>
    <row r="3" spans="1:28" s="24" customFormat="1" ht="13.8" x14ac:dyDescent="0.25">
      <c r="B3" s="167" t="s">
        <v>32</v>
      </c>
      <c r="C3" s="167"/>
      <c r="D3" s="167"/>
      <c r="E3" s="167" t="s">
        <v>37</v>
      </c>
      <c r="F3" s="167"/>
      <c r="G3" s="167"/>
      <c r="H3" s="167" t="s">
        <v>38</v>
      </c>
      <c r="I3" s="167"/>
      <c r="J3" s="167"/>
      <c r="K3" s="167" t="s">
        <v>39</v>
      </c>
      <c r="L3" s="167"/>
      <c r="M3" s="167"/>
      <c r="N3" s="167" t="s">
        <v>62</v>
      </c>
      <c r="O3" s="167"/>
      <c r="P3" s="167"/>
      <c r="Q3" s="167" t="s">
        <v>63</v>
      </c>
      <c r="R3" s="167"/>
      <c r="S3" s="167"/>
      <c r="T3" s="167" t="s">
        <v>33</v>
      </c>
      <c r="U3" s="167"/>
      <c r="V3" s="167"/>
      <c r="W3" s="167" t="s">
        <v>64</v>
      </c>
      <c r="X3" s="167"/>
      <c r="Y3" s="167"/>
      <c r="Z3" s="167" t="s">
        <v>34</v>
      </c>
      <c r="AA3" s="167"/>
      <c r="AB3" s="167"/>
    </row>
    <row r="4" spans="1:28" s="24" customFormat="1" ht="13.8" x14ac:dyDescent="0.25">
      <c r="A4" s="52" t="s">
        <v>28</v>
      </c>
      <c r="B4" s="74" t="s">
        <v>59</v>
      </c>
      <c r="C4" s="75" t="s">
        <v>58</v>
      </c>
      <c r="D4" s="76" t="s">
        <v>60</v>
      </c>
      <c r="E4" s="74" t="s">
        <v>59</v>
      </c>
      <c r="F4" s="75" t="s">
        <v>58</v>
      </c>
      <c r="G4" s="76" t="s">
        <v>60</v>
      </c>
      <c r="H4" s="74" t="s">
        <v>59</v>
      </c>
      <c r="I4" s="75" t="s">
        <v>58</v>
      </c>
      <c r="J4" s="76" t="s">
        <v>60</v>
      </c>
      <c r="K4" s="74" t="s">
        <v>59</v>
      </c>
      <c r="L4" s="75" t="s">
        <v>58</v>
      </c>
      <c r="M4" s="76" t="s">
        <v>60</v>
      </c>
      <c r="N4" s="74" t="s">
        <v>59</v>
      </c>
      <c r="O4" s="75" t="s">
        <v>58</v>
      </c>
      <c r="P4" s="76" t="s">
        <v>60</v>
      </c>
      <c r="Q4" s="74" t="s">
        <v>59</v>
      </c>
      <c r="R4" s="75" t="s">
        <v>58</v>
      </c>
      <c r="S4" s="76" t="s">
        <v>60</v>
      </c>
      <c r="T4" s="74" t="s">
        <v>59</v>
      </c>
      <c r="U4" s="75" t="s">
        <v>58</v>
      </c>
      <c r="V4" s="76" t="s">
        <v>60</v>
      </c>
      <c r="W4" s="74" t="s">
        <v>59</v>
      </c>
      <c r="X4" s="75" t="s">
        <v>58</v>
      </c>
      <c r="Y4" s="76" t="s">
        <v>60</v>
      </c>
      <c r="Z4" s="74" t="s">
        <v>59</v>
      </c>
      <c r="AA4" s="75" t="s">
        <v>58</v>
      </c>
      <c r="AB4" s="76" t="s">
        <v>60</v>
      </c>
    </row>
    <row r="5" spans="1:28" x14ac:dyDescent="0.25">
      <c r="A5" s="20">
        <v>0</v>
      </c>
      <c r="B5" s="62"/>
      <c r="C5" s="22"/>
      <c r="D5" s="63"/>
      <c r="E5" s="62"/>
      <c r="F5" s="22"/>
      <c r="G5" s="63"/>
      <c r="H5" s="62"/>
      <c r="I5" s="22"/>
      <c r="J5" s="63"/>
      <c r="K5" s="62"/>
      <c r="L5" s="22"/>
      <c r="M5" s="63"/>
      <c r="N5" s="62"/>
      <c r="O5" s="22"/>
      <c r="P5" s="63"/>
      <c r="Q5" s="62"/>
      <c r="R5" s="22"/>
      <c r="S5" s="63"/>
      <c r="T5" s="62"/>
      <c r="U5" s="22"/>
      <c r="V5" s="63"/>
      <c r="W5" s="62"/>
      <c r="X5" s="22"/>
      <c r="Y5" s="63"/>
      <c r="Z5" s="62"/>
      <c r="AA5" s="22"/>
      <c r="AB5" s="63"/>
    </row>
    <row r="6" spans="1:28" x14ac:dyDescent="0.25">
      <c r="A6" s="20">
        <v>1</v>
      </c>
      <c r="B6" s="68">
        <v>-1.3391918682730433</v>
      </c>
      <c r="C6" s="69">
        <v>-1.3205376539073994</v>
      </c>
      <c r="D6" s="70">
        <v>-1.3300166619272631</v>
      </c>
      <c r="E6" s="68">
        <v>-1.149542994259372</v>
      </c>
      <c r="F6" s="69">
        <v>-1.1287564594165489</v>
      </c>
      <c r="G6" s="70">
        <v>-1.1393153104759235</v>
      </c>
      <c r="H6" s="68">
        <v>-1.1995667190344683</v>
      </c>
      <c r="I6" s="69">
        <v>-1.159057693334963</v>
      </c>
      <c r="J6" s="70">
        <v>-1.1794669380666578</v>
      </c>
      <c r="K6" s="68">
        <v>-1.3008882857309396</v>
      </c>
      <c r="L6" s="69">
        <v>-1.2828282862915501</v>
      </c>
      <c r="M6" s="70">
        <v>-1.2920084625948782</v>
      </c>
      <c r="N6" s="68">
        <v>-1.2244024839391032</v>
      </c>
      <c r="O6" s="69">
        <v>-1.23753030934175</v>
      </c>
      <c r="P6" s="70">
        <v>-1.2307700164916384</v>
      </c>
      <c r="Q6" s="68">
        <v>-1.1881811084640668</v>
      </c>
      <c r="R6" s="69">
        <v>-1.1106269288043862</v>
      </c>
      <c r="S6" s="70">
        <v>-1.1491210108255552</v>
      </c>
      <c r="T6" s="68">
        <v>-1.1633364561886397</v>
      </c>
      <c r="U6" s="69">
        <v>-1.1378733283421005</v>
      </c>
      <c r="V6" s="70">
        <v>-1.1507828765224926</v>
      </c>
      <c r="W6" s="68">
        <v>-1.4833929444880147</v>
      </c>
      <c r="X6" s="69">
        <v>-1.3772257268162487</v>
      </c>
      <c r="Y6" s="70">
        <v>-1.4290933741165424</v>
      </c>
      <c r="Z6" s="68">
        <v>-1.2808737879735403</v>
      </c>
      <c r="AA6" s="69">
        <v>-1.2702343228546582</v>
      </c>
      <c r="AB6" s="70">
        <v>-1.2756596114442857</v>
      </c>
    </row>
    <row r="7" spans="1:28" x14ac:dyDescent="0.25">
      <c r="A7" s="20">
        <v>2</v>
      </c>
      <c r="B7" s="68">
        <v>-1.2482713700005119</v>
      </c>
      <c r="C7" s="69">
        <v>-1.2060902889860654</v>
      </c>
      <c r="D7" s="70">
        <v>-1.2273209044445137</v>
      </c>
      <c r="E7" s="68">
        <v>-1.0529219229132221</v>
      </c>
      <c r="F7" s="69">
        <v>-1.0009991172979613</v>
      </c>
      <c r="G7" s="70">
        <v>-1.0270730854502448</v>
      </c>
      <c r="H7" s="68">
        <v>-1.1377253644533953</v>
      </c>
      <c r="I7" s="69">
        <v>-1.0733530126616093</v>
      </c>
      <c r="J7" s="70">
        <v>-1.1054931620988286</v>
      </c>
      <c r="K7" s="68">
        <v>-1.2215537498283509</v>
      </c>
      <c r="L7" s="69">
        <v>-1.1769512130842383</v>
      </c>
      <c r="M7" s="70">
        <v>-1.199382018993584</v>
      </c>
      <c r="N7" s="68">
        <v>-1.1230471529817474</v>
      </c>
      <c r="O7" s="69">
        <v>-1.1005760900291686</v>
      </c>
      <c r="P7" s="70">
        <v>-1.111984110632724</v>
      </c>
      <c r="Q7" s="68">
        <v>-1.1426712858304264</v>
      </c>
      <c r="R7" s="69">
        <v>-1.0453999629280153</v>
      </c>
      <c r="S7" s="70">
        <v>-1.0933348058002088</v>
      </c>
      <c r="T7" s="68">
        <v>-1.0463868502835159</v>
      </c>
      <c r="U7" s="69">
        <v>-1.0078054280696105</v>
      </c>
      <c r="V7" s="70">
        <v>-1.0272791625090567</v>
      </c>
      <c r="W7" s="68">
        <v>-1.4168729131570437</v>
      </c>
      <c r="X7" s="69">
        <v>-1.2912753803659804</v>
      </c>
      <c r="Y7" s="70">
        <v>-1.3521595311804706</v>
      </c>
      <c r="Z7" s="68">
        <v>-1.1994285555271815</v>
      </c>
      <c r="AA7" s="69">
        <v>-1.1587986927915868</v>
      </c>
      <c r="AB7" s="70">
        <v>-1.1792678283331384</v>
      </c>
    </row>
    <row r="8" spans="1:28" x14ac:dyDescent="0.25">
      <c r="A8" s="20">
        <v>3</v>
      </c>
      <c r="B8" s="68">
        <v>-1.1910198660531051</v>
      </c>
      <c r="C8" s="69">
        <v>-1.1415199407859422</v>
      </c>
      <c r="D8" s="70">
        <v>-1.1663695111648762</v>
      </c>
      <c r="E8" s="68">
        <v>-1.011641800202346</v>
      </c>
      <c r="F8" s="69">
        <v>-0.94932382970969997</v>
      </c>
      <c r="G8" s="70">
        <v>-0.98051169273159389</v>
      </c>
      <c r="H8" s="68">
        <v>-1.1122189169025767</v>
      </c>
      <c r="I8" s="69">
        <v>-1.039688949985299</v>
      </c>
      <c r="J8" s="70">
        <v>-1.0757976651113399</v>
      </c>
      <c r="K8" s="68">
        <v>-1.1859677355284142</v>
      </c>
      <c r="L8" s="69">
        <v>-1.1323859197276216</v>
      </c>
      <c r="M8" s="70">
        <v>-1.1592413135184099</v>
      </c>
      <c r="N8" s="68">
        <v>-1.0763916155281843</v>
      </c>
      <c r="O8" s="69">
        <v>-1.0398150394030004</v>
      </c>
      <c r="P8" s="70">
        <v>-1.0582869252092624</v>
      </c>
      <c r="Q8" s="68">
        <v>-1.1204664319857272</v>
      </c>
      <c r="R8" s="69">
        <v>-1.0161031266207456</v>
      </c>
      <c r="S8" s="70">
        <v>-1.0674114838312492</v>
      </c>
      <c r="T8" s="68">
        <v>-0.99614963621114883</v>
      </c>
      <c r="U8" s="69">
        <v>-0.95267015404496225</v>
      </c>
      <c r="V8" s="70">
        <v>-0.9745854680761824</v>
      </c>
      <c r="W8" s="68">
        <v>-1.3824458803830362</v>
      </c>
      <c r="X8" s="69">
        <v>-1.2510802529977294</v>
      </c>
      <c r="Y8" s="70">
        <v>-1.3146345295832591</v>
      </c>
      <c r="Z8" s="68">
        <v>-1.1601037320689203</v>
      </c>
      <c r="AA8" s="69">
        <v>-1.1075442776129736</v>
      </c>
      <c r="AB8" s="70">
        <v>-1.1339041157033591</v>
      </c>
    </row>
    <row r="9" spans="1:28" x14ac:dyDescent="0.25">
      <c r="A9" s="20">
        <v>4</v>
      </c>
      <c r="B9" s="68">
        <v>-1.1495155578742873</v>
      </c>
      <c r="C9" s="69">
        <v>-1.0955047349247578</v>
      </c>
      <c r="D9" s="70">
        <v>-1.1225793890829769</v>
      </c>
      <c r="E9" s="68">
        <v>-0.99004099456392958</v>
      </c>
      <c r="F9" s="69">
        <v>-0.92335583908746821</v>
      </c>
      <c r="G9" s="70">
        <v>-0.95668616163910714</v>
      </c>
      <c r="H9" s="68">
        <v>-1.095915405129446</v>
      </c>
      <c r="I9" s="69">
        <v>-1.0182341470351175</v>
      </c>
      <c r="J9" s="70">
        <v>-1.0568390913683008</v>
      </c>
      <c r="K9" s="68">
        <v>-1.162235485562451</v>
      </c>
      <c r="L9" s="69">
        <v>-1.1053871731772904</v>
      </c>
      <c r="M9" s="70">
        <v>-1.133848489507731</v>
      </c>
      <c r="N9" s="68">
        <v>-1.0483131224481017</v>
      </c>
      <c r="O9" s="69">
        <v>-1.0046334008611115</v>
      </c>
      <c r="P9" s="70">
        <v>-1.0266375793312168</v>
      </c>
      <c r="Q9" s="68">
        <v>-1.1064494491943582</v>
      </c>
      <c r="R9" s="69">
        <v>-0.99875000439963968</v>
      </c>
      <c r="S9" s="70">
        <v>-1.0516452658577295</v>
      </c>
      <c r="T9" s="68">
        <v>-0.96773940096371158</v>
      </c>
      <c r="U9" s="69">
        <v>-0.9220865668115743</v>
      </c>
      <c r="V9" s="70">
        <v>-0.94508557737724608</v>
      </c>
      <c r="W9" s="68">
        <v>-1.3597144854110406</v>
      </c>
      <c r="X9" s="69">
        <v>-1.2265311577755469</v>
      </c>
      <c r="Y9" s="70">
        <v>-1.2909394381592718</v>
      </c>
      <c r="Z9" s="68">
        <v>-1.1355661598497071</v>
      </c>
      <c r="AA9" s="69">
        <v>-1.0767436947993454</v>
      </c>
      <c r="AB9" s="70">
        <v>-1.1061781300895608</v>
      </c>
    </row>
    <row r="10" spans="1:28" x14ac:dyDescent="0.25">
      <c r="A10" s="20">
        <v>5</v>
      </c>
      <c r="B10" s="68">
        <v>-1.1185632260148939</v>
      </c>
      <c r="C10" s="69">
        <v>-1.061325256602174</v>
      </c>
      <c r="D10" s="70">
        <v>-1.0899897929411233</v>
      </c>
      <c r="E10" s="68">
        <v>-0.97803104804351482</v>
      </c>
      <c r="F10" s="69">
        <v>-0.90879111177777439</v>
      </c>
      <c r="G10" s="70">
        <v>-0.94337274491278955</v>
      </c>
      <c r="H10" s="68">
        <v>-1.0839281949744348</v>
      </c>
      <c r="I10" s="69">
        <v>-1.0034528162299363</v>
      </c>
      <c r="J10" s="70">
        <v>-1.0434107208936003</v>
      </c>
      <c r="K10" s="68">
        <v>-1.1443836734991739</v>
      </c>
      <c r="L10" s="69">
        <v>-1.0842444395521329</v>
      </c>
      <c r="M10" s="70">
        <v>-1.1143192900977046</v>
      </c>
      <c r="N10" s="68">
        <v>-1.0292629455595335</v>
      </c>
      <c r="O10" s="69">
        <v>-0.98147966750972182</v>
      </c>
      <c r="P10" s="70">
        <v>-1.005518141540678</v>
      </c>
      <c r="Q10" s="68">
        <v>-1.0965955555752871</v>
      </c>
      <c r="R10" s="69">
        <v>-0.98713578518709799</v>
      </c>
      <c r="S10" s="70">
        <v>-1.040870571612214</v>
      </c>
      <c r="T10" s="68">
        <v>-0.9494788835701552</v>
      </c>
      <c r="U10" s="69">
        <v>-0.90273094854934122</v>
      </c>
      <c r="V10" s="70">
        <v>-0.92627696607578747</v>
      </c>
      <c r="W10" s="68">
        <v>-1.3430952157810709</v>
      </c>
      <c r="X10" s="69">
        <v>-1.2095785232792193</v>
      </c>
      <c r="Y10" s="70">
        <v>-1.2741582599497068</v>
      </c>
      <c r="Z10" s="68">
        <v>-1.1183426521790116</v>
      </c>
      <c r="AA10" s="69">
        <v>-1.0557703137725243</v>
      </c>
      <c r="AB10" s="70">
        <v>-1.0870408602371626</v>
      </c>
    </row>
    <row r="11" spans="1:28" x14ac:dyDescent="0.25">
      <c r="A11" s="20">
        <v>10</v>
      </c>
      <c r="B11" s="68">
        <v>-1.0393562968308907</v>
      </c>
      <c r="C11" s="69">
        <v>-0.97867737240738273</v>
      </c>
      <c r="D11" s="70">
        <v>-1.0090525505490437</v>
      </c>
      <c r="E11" s="68">
        <v>-0.94784307566733739</v>
      </c>
      <c r="F11" s="69">
        <v>-0.87426674682746675</v>
      </c>
      <c r="G11" s="70">
        <v>-0.9109759656016303</v>
      </c>
      <c r="H11" s="68">
        <v>-1.0472539080439389</v>
      </c>
      <c r="I11" s="69">
        <v>-0.96210277111891918</v>
      </c>
      <c r="J11" s="70">
        <v>-1.0043334640576214</v>
      </c>
      <c r="K11" s="68">
        <v>-1.0968312103313975</v>
      </c>
      <c r="L11" s="69">
        <v>-1.0329081865332934</v>
      </c>
      <c r="M11" s="70">
        <v>-1.0648450322432061</v>
      </c>
      <c r="N11" s="68">
        <v>-0.98369901448796815</v>
      </c>
      <c r="O11" s="69">
        <v>-0.93040263712809212</v>
      </c>
      <c r="P11" s="70">
        <v>-0.95717334253081887</v>
      </c>
      <c r="Q11" s="68">
        <v>-1.0710479766829692</v>
      </c>
      <c r="R11" s="69">
        <v>-0.96012756983373815</v>
      </c>
      <c r="S11" s="70">
        <v>-1.0145804306666857</v>
      </c>
      <c r="T11" s="68">
        <v>-0.91071238550681488</v>
      </c>
      <c r="U11" s="69">
        <v>-0.86341317190230826</v>
      </c>
      <c r="V11" s="70">
        <v>-0.88724264033592859</v>
      </c>
      <c r="W11" s="68">
        <v>-1.2967451336857732</v>
      </c>
      <c r="X11" s="69">
        <v>-1.1678086462282879</v>
      </c>
      <c r="Y11" s="70">
        <v>-1.2303496154337019</v>
      </c>
      <c r="Z11" s="68">
        <v>-1.0743948523980273</v>
      </c>
      <c r="AA11" s="69">
        <v>-1.0059690881890577</v>
      </c>
      <c r="AB11" s="70">
        <v>-1.0401061476730076</v>
      </c>
    </row>
    <row r="12" spans="1:28" x14ac:dyDescent="0.25">
      <c r="A12" s="20">
        <v>15</v>
      </c>
      <c r="B12" s="68">
        <v>-0.99810318323243907</v>
      </c>
      <c r="C12" s="69">
        <v>-0.93456378789298888</v>
      </c>
      <c r="D12" s="70">
        <v>-0.96635456814626275</v>
      </c>
      <c r="E12" s="68">
        <v>-0.92724294571284704</v>
      </c>
      <c r="F12" s="69">
        <v>-0.85272014880258951</v>
      </c>
      <c r="G12" s="70">
        <v>-0.88990310948808893</v>
      </c>
      <c r="H12" s="68">
        <v>-1.0232404683298353</v>
      </c>
      <c r="I12" s="69">
        <v>-0.93688771389348002</v>
      </c>
      <c r="J12" s="70">
        <v>-0.97971406825728613</v>
      </c>
      <c r="K12" s="68">
        <v>-1.0631132391187417</v>
      </c>
      <c r="L12" s="69">
        <v>-0.99562585121052949</v>
      </c>
      <c r="M12" s="70">
        <v>-1.0293119689456429</v>
      </c>
      <c r="N12" s="68">
        <v>-0.95845256110003996</v>
      </c>
      <c r="O12" s="69">
        <v>-0.90544375058891757</v>
      </c>
      <c r="P12" s="70">
        <v>-0.93208088942572564</v>
      </c>
      <c r="Q12" s="68">
        <v>-1.0502865418043261</v>
      </c>
      <c r="R12" s="69">
        <v>-0.93957838384724868</v>
      </c>
      <c r="S12" s="70">
        <v>-0.99395789712628757</v>
      </c>
      <c r="T12" s="68">
        <v>-0.89415623808717182</v>
      </c>
      <c r="U12" s="69">
        <v>-0.84720717813866564</v>
      </c>
      <c r="V12" s="70">
        <v>-0.87086768371809842</v>
      </c>
      <c r="W12" s="68">
        <v>-1.2584276949461242</v>
      </c>
      <c r="X12" s="69">
        <v>-1.1373286585570146</v>
      </c>
      <c r="Y12" s="70">
        <v>-1.1963047021648439</v>
      </c>
      <c r="Z12" s="68">
        <v>-1.046640904616448</v>
      </c>
      <c r="AA12" s="69">
        <v>-0.9778828398588445</v>
      </c>
      <c r="AB12" s="70">
        <v>-1.0121945536850772</v>
      </c>
    </row>
    <row r="13" spans="1:28" x14ac:dyDescent="0.25">
      <c r="A13" s="20">
        <v>20</v>
      </c>
      <c r="B13" s="71">
        <v>-0.9416333856114224</v>
      </c>
      <c r="C13" s="72">
        <v>-0.88577608039760869</v>
      </c>
      <c r="D13" s="73">
        <v>-0.91382222014342573</v>
      </c>
      <c r="E13" s="71">
        <v>-0.89806980739238718</v>
      </c>
      <c r="F13" s="72">
        <v>-0.82207221968309652</v>
      </c>
      <c r="G13" s="73">
        <v>-0.85999289910331278</v>
      </c>
      <c r="H13" s="71">
        <v>-0.98210627496614655</v>
      </c>
      <c r="I13" s="72">
        <v>-0.90144694160929184</v>
      </c>
      <c r="J13" s="73">
        <v>-0.94156371692343144</v>
      </c>
      <c r="K13" s="71">
        <v>-1.0130422551600544</v>
      </c>
      <c r="L13" s="72">
        <v>-0.94491044364009291</v>
      </c>
      <c r="M13" s="73">
        <v>-0.97893414503700538</v>
      </c>
      <c r="N13" s="71">
        <v>-0.92315126707712025</v>
      </c>
      <c r="O13" s="72">
        <v>-0.87353503704912039</v>
      </c>
      <c r="P13" s="73">
        <v>-0.89850801280079284</v>
      </c>
      <c r="Q13" s="71">
        <v>-1.0150860472583132</v>
      </c>
      <c r="R13" s="72">
        <v>-0.90716031396523533</v>
      </c>
      <c r="S13" s="73">
        <v>-0.96027265708124088</v>
      </c>
      <c r="T13" s="71">
        <v>-0.87450042882312029</v>
      </c>
      <c r="U13" s="72">
        <v>-0.82539225007655914</v>
      </c>
      <c r="V13" s="73">
        <v>-0.85012871104987098</v>
      </c>
      <c r="W13" s="71">
        <v>-1.2020971767372759</v>
      </c>
      <c r="X13" s="72">
        <v>-1.0804886999840153</v>
      </c>
      <c r="Y13" s="73">
        <v>-1.1397670872678705</v>
      </c>
      <c r="Z13" s="71">
        <v>-1.0066773582389617</v>
      </c>
      <c r="AA13" s="72">
        <v>-0.93810586936643969</v>
      </c>
      <c r="AB13" s="73">
        <v>-0.97234684182353814</v>
      </c>
    </row>
  </sheetData>
  <sheetProtection sheet="1" objects="1" scenarios="1"/>
  <mergeCells count="9">
    <mergeCell ref="B3:D3"/>
    <mergeCell ref="E3:G3"/>
    <mergeCell ref="H3:J3"/>
    <mergeCell ref="K3:M3"/>
    <mergeCell ref="Z3:AB3"/>
    <mergeCell ref="W3:Y3"/>
    <mergeCell ref="T3:V3"/>
    <mergeCell ref="Q3:S3"/>
    <mergeCell ref="N3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663-B32C-4680-AA57-34A016594209}">
  <sheetPr>
    <tabColor rgb="FF00B050"/>
    <outlinePr summaryBelow="0" summaryRight="0"/>
  </sheetPr>
  <dimension ref="B2:AB45"/>
  <sheetViews>
    <sheetView showGridLines="0" tabSelected="1" topLeftCell="J1" zoomScaleNormal="60" workbookViewId="0">
      <selection activeCell="L6" sqref="L6"/>
    </sheetView>
  </sheetViews>
  <sheetFormatPr baseColWidth="10" defaultColWidth="14.44140625" defaultRowHeight="15" customHeight="1" x14ac:dyDescent="0.3"/>
  <cols>
    <col min="1" max="1" width="6.77734375" customWidth="1"/>
    <col min="21" max="21" width="3.33203125" customWidth="1"/>
    <col min="22" max="23" width="16.44140625" hidden="1" customWidth="1"/>
  </cols>
  <sheetData>
    <row r="2" spans="2:23" ht="15" customHeight="1" x14ac:dyDescent="0.3">
      <c r="B2" s="179" t="s">
        <v>114</v>
      </c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</row>
    <row r="3" spans="2:23" ht="33" customHeight="1" x14ac:dyDescent="0.3">
      <c r="B3" s="113" t="s">
        <v>110</v>
      </c>
      <c r="C3" s="112" t="s">
        <v>109</v>
      </c>
      <c r="D3" s="112" t="s">
        <v>108</v>
      </c>
      <c r="E3" s="112" t="s">
        <v>107</v>
      </c>
      <c r="F3" s="111"/>
      <c r="G3" s="110"/>
      <c r="H3" s="110"/>
      <c r="I3" s="110" t="s">
        <v>106</v>
      </c>
      <c r="J3" s="110"/>
      <c r="K3" s="109" t="s">
        <v>105</v>
      </c>
      <c r="L3" s="110"/>
      <c r="M3" s="110" t="s">
        <v>104</v>
      </c>
      <c r="N3" s="110"/>
      <c r="O3" s="110" t="s">
        <v>103</v>
      </c>
      <c r="P3" s="110"/>
      <c r="Q3" s="110" t="s">
        <v>102</v>
      </c>
      <c r="R3" s="110" t="s">
        <v>101</v>
      </c>
      <c r="S3" s="109" t="s">
        <v>100</v>
      </c>
      <c r="T3" s="108" t="s">
        <v>99</v>
      </c>
    </row>
    <row r="4" spans="2:23" ht="15" customHeight="1" x14ac:dyDescent="0.3">
      <c r="B4" s="102">
        <v>0</v>
      </c>
      <c r="C4" s="101">
        <v>1</v>
      </c>
      <c r="D4" s="115">
        <f>'Defunciones generales'!D21</f>
        <v>613.56184952220497</v>
      </c>
      <c r="E4" s="115">
        <f>Homicidios!D553</f>
        <v>4</v>
      </c>
      <c r="F4" s="96">
        <f t="shared" ref="F4:F22" si="0">(D4-E4)/D4</f>
        <v>0.99348068983898707</v>
      </c>
      <c r="G4" s="117">
        <f>LT!H21</f>
        <v>100000</v>
      </c>
      <c r="H4" s="119">
        <f>1-LT!F21</f>
        <v>0.98752300000000004</v>
      </c>
      <c r="I4" s="100">
        <f t="shared" ref="I4:I22" si="1">1-H4</f>
        <v>1.247699999999996E-2</v>
      </c>
      <c r="J4" s="121">
        <f>LT!G2</f>
        <v>0.09</v>
      </c>
      <c r="K4" s="135">
        <f>LT!L21</f>
        <v>75.19</v>
      </c>
      <c r="L4" s="100">
        <f>H4^F4</f>
        <v>0.98760383516886707</v>
      </c>
      <c r="M4" s="99">
        <f t="shared" ref="M4:M22" si="2">1-L4</f>
        <v>1.2396164831132928E-2</v>
      </c>
      <c r="N4" s="97">
        <v>100000</v>
      </c>
      <c r="O4" s="98">
        <f t="shared" ref="O4:O22" si="3">N4*M4</f>
        <v>1239.6164831132928</v>
      </c>
      <c r="P4" s="98">
        <f>C4+(F4*(I4/M4)*(J4-C4))</f>
        <v>9.0037164740637721E-2</v>
      </c>
      <c r="Q4" s="97">
        <f t="shared" ref="Q4:Q20" si="4">(C4*N5)+(P4*O4)</f>
        <v>98871.995070391989</v>
      </c>
      <c r="R4" s="97">
        <f t="shared" ref="R4:R21" si="5">R5+Q4</f>
        <v>7544371.7300645448</v>
      </c>
      <c r="S4" s="136">
        <f t="shared" ref="S4:S22" si="6">R4/N4</f>
        <v>75.443717300645446</v>
      </c>
      <c r="T4" s="95">
        <f t="shared" ref="T4:T22" si="7">S4-K4</f>
        <v>0.25371730064544806</v>
      </c>
    </row>
    <row r="5" spans="2:23" ht="15" customHeight="1" x14ac:dyDescent="0.3">
      <c r="B5" s="102">
        <v>1</v>
      </c>
      <c r="C5" s="101">
        <v>4</v>
      </c>
      <c r="D5" s="115">
        <f>'Defunciones generales'!D22</f>
        <v>105.815012306111</v>
      </c>
      <c r="E5" s="115">
        <f>Homicidios!D554</f>
        <v>5</v>
      </c>
      <c r="F5" s="96">
        <f t="shared" si="0"/>
        <v>0.95274772557285581</v>
      </c>
      <c r="G5" s="117">
        <f>LT!H22</f>
        <v>98752</v>
      </c>
      <c r="H5" s="119">
        <f>1-LT!F22</f>
        <v>0.99760000000000004</v>
      </c>
      <c r="I5" s="100">
        <f t="shared" si="1"/>
        <v>2.3999999999999577E-3</v>
      </c>
      <c r="J5" s="121">
        <f>LT!G3</f>
        <v>1.61</v>
      </c>
      <c r="K5" s="123">
        <f>LT!L22</f>
        <v>75.14</v>
      </c>
      <c r="L5" s="100">
        <f>H5^F5</f>
        <v>0.99771327569371404</v>
      </c>
      <c r="M5" s="99">
        <f t="shared" si="2"/>
        <v>2.2867243062859588E-3</v>
      </c>
      <c r="N5" s="97">
        <f t="shared" ref="N5:N22" si="8">N4*L4</f>
        <v>98760.383516886708</v>
      </c>
      <c r="O5" s="98">
        <f t="shared" si="3"/>
        <v>225.83776948618799</v>
      </c>
      <c r="P5" s="98">
        <f>C5+(F5*(I5/M5)*(J5-C5))</f>
        <v>1.6101356255044759</v>
      </c>
      <c r="Q5" s="97">
        <f t="shared" si="4"/>
        <v>394501.8124278363</v>
      </c>
      <c r="R5" s="97">
        <f t="shared" si="5"/>
        <v>7445499.7349941526</v>
      </c>
      <c r="S5" s="96">
        <f t="shared" si="6"/>
        <v>75.389538495676973</v>
      </c>
      <c r="T5" s="95">
        <f t="shared" si="7"/>
        <v>0.24953849567697262</v>
      </c>
      <c r="V5" s="172" t="s">
        <v>111</v>
      </c>
      <c r="W5" s="173"/>
    </row>
    <row r="6" spans="2:23" ht="15" customHeight="1" x14ac:dyDescent="0.3">
      <c r="B6" s="102">
        <v>5</v>
      </c>
      <c r="C6" s="101">
        <v>5</v>
      </c>
      <c r="D6" s="115">
        <f>'Defunciones generales'!D23</f>
        <v>33.784022069615503</v>
      </c>
      <c r="E6" s="115">
        <f>Homicidios!D555</f>
        <v>1</v>
      </c>
      <c r="F6" s="96">
        <f t="shared" si="0"/>
        <v>0.97040020877504174</v>
      </c>
      <c r="G6" s="117">
        <f>LT!H23</f>
        <v>98515</v>
      </c>
      <c r="H6" s="119">
        <f>1-LT!F23</f>
        <v>0.99889799999999995</v>
      </c>
      <c r="I6" s="100">
        <f t="shared" si="1"/>
        <v>1.1020000000000474E-3</v>
      </c>
      <c r="J6" s="121">
        <f>LT!G4</f>
        <v>2.5</v>
      </c>
      <c r="K6" s="123">
        <f>LT!L23</f>
        <v>71.31</v>
      </c>
      <c r="L6" s="100">
        <f t="shared" ref="L6:L22" si="9">H6^F6</f>
        <v>0.99893060152227597</v>
      </c>
      <c r="M6" s="99">
        <f t="shared" si="2"/>
        <v>1.0693984777240262E-3</v>
      </c>
      <c r="N6" s="97">
        <f t="shared" si="8"/>
        <v>98534.545747400523</v>
      </c>
      <c r="O6" s="98">
        <f t="shared" si="3"/>
        <v>105.37269322549854</v>
      </c>
      <c r="P6" s="98">
        <f>C6+(F6*(I6/M6)*(J6-C6))</f>
        <v>2.5000407884765306</v>
      </c>
      <c r="Q6" s="97">
        <f t="shared" si="4"/>
        <v>492409.30130193051</v>
      </c>
      <c r="R6" s="97">
        <f t="shared" si="5"/>
        <v>7050997.9225663161</v>
      </c>
      <c r="S6" s="96">
        <f t="shared" si="6"/>
        <v>71.558638334234473</v>
      </c>
      <c r="T6" s="95">
        <f t="shared" si="7"/>
        <v>0.2486383342344709</v>
      </c>
      <c r="V6" s="174"/>
      <c r="W6" s="175"/>
    </row>
    <row r="7" spans="2:23" ht="15" customHeight="1" x14ac:dyDescent="0.3">
      <c r="B7" s="102">
        <v>10</v>
      </c>
      <c r="C7" s="101">
        <v>5</v>
      </c>
      <c r="D7" s="115">
        <f>'Defunciones generales'!D24</f>
        <v>40.310480878518497</v>
      </c>
      <c r="E7" s="115">
        <f>Homicidios!D556</f>
        <v>1</v>
      </c>
      <c r="F7" s="96">
        <f t="shared" si="0"/>
        <v>0.97519255592574927</v>
      </c>
      <c r="G7" s="117">
        <f>LT!H24</f>
        <v>98407</v>
      </c>
      <c r="H7" s="119">
        <f>1-LT!F24</f>
        <v>0.99845899999999999</v>
      </c>
      <c r="I7" s="100">
        <f t="shared" si="1"/>
        <v>1.5410000000000146E-3</v>
      </c>
      <c r="J7" s="121">
        <f>LT!G5</f>
        <v>2.5</v>
      </c>
      <c r="K7" s="123">
        <f>LT!L24</f>
        <v>66.39</v>
      </c>
      <c r="L7" s="100">
        <f t="shared" si="9"/>
        <v>0.99849719953200322</v>
      </c>
      <c r="M7" s="99">
        <f t="shared" si="2"/>
        <v>1.5028004679967788E-3</v>
      </c>
      <c r="N7" s="97">
        <f t="shared" si="8"/>
        <v>98429.173054175029</v>
      </c>
      <c r="O7" s="98">
        <f t="shared" si="3"/>
        <v>147.91940733035017</v>
      </c>
      <c r="P7" s="100">
        <f t="shared" ref="P7:P20" si="10">(((-5/24)*O6)+((2.5)*O7)+((5/24)*O8))/O7</f>
        <v>2.9534775582373132</v>
      </c>
      <c r="Q7" s="97">
        <f t="shared" si="4"/>
        <v>491843.14488420129</v>
      </c>
      <c r="R7" s="97">
        <f t="shared" si="5"/>
        <v>6558588.621264386</v>
      </c>
      <c r="S7" s="96">
        <f t="shared" si="6"/>
        <v>66.632568554188353</v>
      </c>
      <c r="T7" s="95">
        <f t="shared" si="7"/>
        <v>0.24256855418835244</v>
      </c>
      <c r="V7" s="176"/>
      <c r="W7" s="177"/>
    </row>
    <row r="8" spans="2:23" ht="15" customHeight="1" x14ac:dyDescent="0.3">
      <c r="B8" s="102">
        <v>15</v>
      </c>
      <c r="C8" s="101">
        <v>5</v>
      </c>
      <c r="D8" s="115">
        <f>'Defunciones generales'!D25</f>
        <v>73.566627603296197</v>
      </c>
      <c r="E8" s="115">
        <f>Homicidios!D557</f>
        <v>1</v>
      </c>
      <c r="F8" s="96">
        <f t="shared" si="0"/>
        <v>0.98640687995931464</v>
      </c>
      <c r="G8" s="117">
        <f>LT!H25</f>
        <v>98255</v>
      </c>
      <c r="H8" s="119">
        <f>1-LT!F25</f>
        <v>0.99559200000000003</v>
      </c>
      <c r="I8" s="100">
        <f t="shared" si="1"/>
        <v>4.4079999999999675E-3</v>
      </c>
      <c r="J8" s="121">
        <f>LT!G6</f>
        <v>2.5</v>
      </c>
      <c r="K8" s="123">
        <f>LT!L25</f>
        <v>61.49</v>
      </c>
      <c r="L8" s="100">
        <f t="shared" si="9"/>
        <v>0.99565178801349985</v>
      </c>
      <c r="M8" s="99">
        <f t="shared" si="2"/>
        <v>4.3482119865001501E-3</v>
      </c>
      <c r="N8" s="97">
        <f t="shared" si="8"/>
        <v>98281.253646844678</v>
      </c>
      <c r="O8" s="98">
        <f t="shared" si="3"/>
        <v>427.34772515547161</v>
      </c>
      <c r="P8" s="100">
        <f t="shared" si="10"/>
        <v>2.8147097588119503</v>
      </c>
      <c r="Q8" s="97">
        <f t="shared" si="4"/>
        <v>490472.38942084723</v>
      </c>
      <c r="R8" s="97">
        <f t="shared" si="5"/>
        <v>6066745.4763801843</v>
      </c>
      <c r="S8" s="96">
        <f t="shared" si="6"/>
        <v>61.728409551834787</v>
      </c>
      <c r="T8" s="95">
        <f t="shared" si="7"/>
        <v>0.23840955183478485</v>
      </c>
      <c r="V8" s="106" t="s">
        <v>97</v>
      </c>
      <c r="W8" s="106" t="s">
        <v>96</v>
      </c>
    </row>
    <row r="9" spans="2:23" ht="15" customHeight="1" x14ac:dyDescent="0.3">
      <c r="B9" s="102">
        <v>20</v>
      </c>
      <c r="C9" s="101">
        <v>5</v>
      </c>
      <c r="D9" s="115">
        <f>'Defunciones generales'!D26</f>
        <v>95.737392086481407</v>
      </c>
      <c r="E9" s="115">
        <f>Homicidios!D558</f>
        <v>1</v>
      </c>
      <c r="F9" s="96">
        <f t="shared" si="0"/>
        <v>0.98955476038978918</v>
      </c>
      <c r="G9" s="117">
        <f>LT!H26</f>
        <v>97822</v>
      </c>
      <c r="H9" s="119">
        <f>1-LT!F26</f>
        <v>0.99180599999999997</v>
      </c>
      <c r="I9" s="100">
        <f t="shared" si="1"/>
        <v>8.1940000000000346E-3</v>
      </c>
      <c r="J9" s="121">
        <f>LT!G7</f>
        <v>2.5</v>
      </c>
      <c r="K9" s="123">
        <f>LT!L26</f>
        <v>56.75</v>
      </c>
      <c r="L9" s="100">
        <f t="shared" si="9"/>
        <v>0.99189124033919074</v>
      </c>
      <c r="M9" s="99">
        <f t="shared" si="2"/>
        <v>8.1087596608092616E-3</v>
      </c>
      <c r="N9" s="97">
        <f t="shared" si="8"/>
        <v>97853.905921689206</v>
      </c>
      <c r="O9" s="98">
        <f t="shared" si="3"/>
        <v>793.47380499041799</v>
      </c>
      <c r="P9" s="100">
        <f t="shared" si="10"/>
        <v>2.6118728076424245</v>
      </c>
      <c r="Q9" s="97">
        <f t="shared" si="4"/>
        <v>487374.61323832505</v>
      </c>
      <c r="R9" s="97">
        <f t="shared" si="5"/>
        <v>5576273.0869593369</v>
      </c>
      <c r="S9" s="96">
        <f t="shared" si="6"/>
        <v>56.98569755020236</v>
      </c>
      <c r="T9" s="95">
        <f t="shared" si="7"/>
        <v>0.23569755020236016</v>
      </c>
      <c r="V9" s="103">
        <f>([1]TV!M53-[1]TV!M71)/[1]TV!J53</f>
        <v>66.401396448949356</v>
      </c>
      <c r="W9" s="103">
        <f>(R4-R22)/N4</f>
        <v>72.8374651884331</v>
      </c>
    </row>
    <row r="10" spans="2:23" ht="15" customHeight="1" x14ac:dyDescent="0.3">
      <c r="B10" s="102">
        <v>25</v>
      </c>
      <c r="C10" s="101">
        <v>5</v>
      </c>
      <c r="D10" s="115">
        <f>'Defunciones generales'!D27</f>
        <v>86.667533888814702</v>
      </c>
      <c r="E10" s="115">
        <f>Homicidios!D559</f>
        <v>1</v>
      </c>
      <c r="F10" s="96">
        <f t="shared" si="0"/>
        <v>0.98846165391895313</v>
      </c>
      <c r="G10" s="117">
        <f>LT!H27</f>
        <v>97020</v>
      </c>
      <c r="H10" s="119">
        <f>1-LT!F27</f>
        <v>0.99110500000000001</v>
      </c>
      <c r="I10" s="100">
        <f t="shared" si="1"/>
        <v>8.8949999999999863E-3</v>
      </c>
      <c r="J10" s="121">
        <f>LT!G8</f>
        <v>2.5</v>
      </c>
      <c r="K10" s="123">
        <f>LT!L27</f>
        <v>52.2</v>
      </c>
      <c r="L10" s="100">
        <f t="shared" si="9"/>
        <v>0.99120718103301519</v>
      </c>
      <c r="M10" s="99">
        <f t="shared" si="2"/>
        <v>8.7928189669848056E-3</v>
      </c>
      <c r="N10" s="97">
        <f t="shared" si="8"/>
        <v>97060.432116698794</v>
      </c>
      <c r="O10" s="98">
        <f t="shared" si="3"/>
        <v>853.43480845945032</v>
      </c>
      <c r="P10" s="100">
        <f t="shared" si="10"/>
        <v>2.5655339626405596</v>
      </c>
      <c r="Q10" s="97">
        <f t="shared" si="4"/>
        <v>483224.50252719905</v>
      </c>
      <c r="R10" s="97">
        <f t="shared" si="5"/>
        <v>5088898.4737210115</v>
      </c>
      <c r="S10" s="96">
        <f t="shared" si="6"/>
        <v>52.430206241019718</v>
      </c>
      <c r="T10" s="95">
        <f t="shared" si="7"/>
        <v>0.23020624101971521</v>
      </c>
      <c r="V10" s="104" t="s">
        <v>95</v>
      </c>
      <c r="W10" s="103">
        <f>W9-V9</f>
        <v>6.4360687394837441</v>
      </c>
    </row>
    <row r="11" spans="2:23" ht="15" customHeight="1" x14ac:dyDescent="0.3">
      <c r="B11" s="102">
        <v>30</v>
      </c>
      <c r="C11" s="101">
        <v>5</v>
      </c>
      <c r="D11" s="115">
        <f>'Defunciones generales'!D28</f>
        <v>105.815012306111</v>
      </c>
      <c r="E11" s="115">
        <f>Homicidios!D560</f>
        <v>0</v>
      </c>
      <c r="F11" s="96">
        <f t="shared" si="0"/>
        <v>1</v>
      </c>
      <c r="G11" s="117">
        <f>LT!H28</f>
        <v>96157</v>
      </c>
      <c r="H11" s="119">
        <f>1-LT!F28</f>
        <v>0.98896200000000001</v>
      </c>
      <c r="I11" s="100">
        <f t="shared" si="1"/>
        <v>1.1037999999999992E-2</v>
      </c>
      <c r="J11" s="121">
        <f>LT!G9</f>
        <v>2.5</v>
      </c>
      <c r="K11" s="123">
        <f>LT!L28</f>
        <v>47.64</v>
      </c>
      <c r="L11" s="100">
        <f t="shared" si="9"/>
        <v>0.98896200000000001</v>
      </c>
      <c r="M11" s="99">
        <f t="shared" si="2"/>
        <v>1.1037999999999992E-2</v>
      </c>
      <c r="N11" s="97">
        <f t="shared" si="8"/>
        <v>96206.997308239341</v>
      </c>
      <c r="O11" s="98">
        <f t="shared" si="3"/>
        <v>1061.932836288345</v>
      </c>
      <c r="P11" s="100">
        <f t="shared" si="10"/>
        <v>2.5725387487946616</v>
      </c>
      <c r="Q11" s="97">
        <f t="shared" si="4"/>
        <v>478457.18572972418</v>
      </c>
      <c r="R11" s="97">
        <f t="shared" si="5"/>
        <v>4605673.9711938128</v>
      </c>
      <c r="S11" s="96">
        <f t="shared" si="6"/>
        <v>47.872546696760637</v>
      </c>
      <c r="T11" s="95">
        <f t="shared" si="7"/>
        <v>0.232546696760636</v>
      </c>
    </row>
    <row r="12" spans="2:23" ht="15" customHeight="1" x14ac:dyDescent="0.3">
      <c r="B12" s="102">
        <v>35</v>
      </c>
      <c r="C12" s="101">
        <v>5</v>
      </c>
      <c r="D12" s="115">
        <f>'Defunciones generales'!D29</f>
        <v>118.91591859163</v>
      </c>
      <c r="E12" s="115">
        <f>Homicidios!D561</f>
        <v>0</v>
      </c>
      <c r="F12" s="96">
        <f t="shared" si="0"/>
        <v>1</v>
      </c>
      <c r="G12" s="117">
        <f>LT!H29</f>
        <v>95096</v>
      </c>
      <c r="H12" s="119">
        <f>1-LT!F29</f>
        <v>0.98714400000000002</v>
      </c>
      <c r="I12" s="100">
        <f t="shared" si="1"/>
        <v>1.2855999999999979E-2</v>
      </c>
      <c r="J12" s="121">
        <f>LT!G10</f>
        <v>2.5</v>
      </c>
      <c r="K12" s="123">
        <f>LT!L29</f>
        <v>43.15</v>
      </c>
      <c r="L12" s="100">
        <f t="shared" si="9"/>
        <v>0.98714400000000002</v>
      </c>
      <c r="M12" s="99">
        <f t="shared" si="2"/>
        <v>1.2855999999999979E-2</v>
      </c>
      <c r="N12" s="97">
        <f t="shared" si="8"/>
        <v>95145.064471951002</v>
      </c>
      <c r="O12" s="98">
        <f t="shared" si="3"/>
        <v>1223.1849488514001</v>
      </c>
      <c r="P12" s="100">
        <f t="shared" si="10"/>
        <v>2.6015868775968674</v>
      </c>
      <c r="Q12" s="97">
        <f t="shared" si="4"/>
        <v>472791.61952730385</v>
      </c>
      <c r="R12" s="97">
        <f t="shared" si="5"/>
        <v>4127216.7854640884</v>
      </c>
      <c r="S12" s="96">
        <f t="shared" si="6"/>
        <v>43.378149022966944</v>
      </c>
      <c r="T12" s="95">
        <f t="shared" si="7"/>
        <v>0.22814902296694584</v>
      </c>
    </row>
    <row r="13" spans="2:23" ht="15" customHeight="1" x14ac:dyDescent="0.3">
      <c r="B13" s="102">
        <v>40</v>
      </c>
      <c r="C13" s="101">
        <v>5</v>
      </c>
      <c r="D13" s="115">
        <f>'Defunciones generales'!D30</f>
        <v>114.884870503778</v>
      </c>
      <c r="E13" s="115">
        <f>Homicidios!D562</f>
        <v>0</v>
      </c>
      <c r="F13" s="96">
        <f t="shared" si="0"/>
        <v>1</v>
      </c>
      <c r="G13" s="117">
        <f>LT!H30</f>
        <v>93873</v>
      </c>
      <c r="H13" s="119">
        <f>1-LT!F30</f>
        <v>0.98234299999999997</v>
      </c>
      <c r="I13" s="100">
        <f t="shared" si="1"/>
        <v>1.7657000000000034E-2</v>
      </c>
      <c r="J13" s="121">
        <f>LT!G11</f>
        <v>2.5</v>
      </c>
      <c r="K13" s="123">
        <f>LT!L30</f>
        <v>38.68</v>
      </c>
      <c r="L13" s="100">
        <f t="shared" si="9"/>
        <v>0.98234299999999997</v>
      </c>
      <c r="M13" s="99">
        <f t="shared" si="2"/>
        <v>1.7657000000000034E-2</v>
      </c>
      <c r="N13" s="97">
        <f t="shared" si="8"/>
        <v>93921.879523099604</v>
      </c>
      <c r="O13" s="98">
        <f t="shared" si="3"/>
        <v>1658.378626739373</v>
      </c>
      <c r="P13" s="100">
        <f t="shared" si="10"/>
        <v>2.6293564187023253</v>
      </c>
      <c r="Q13" s="97">
        <f t="shared" si="4"/>
        <v>465677.97296865709</v>
      </c>
      <c r="R13" s="97">
        <f t="shared" si="5"/>
        <v>3654425.1659367848</v>
      </c>
      <c r="S13" s="96">
        <f t="shared" si="6"/>
        <v>38.909199693325959</v>
      </c>
      <c r="T13" s="95">
        <f t="shared" si="7"/>
        <v>0.22919969332595969</v>
      </c>
    </row>
    <row r="14" spans="2:23" ht="15" customHeight="1" x14ac:dyDescent="0.3">
      <c r="B14" s="102">
        <v>45</v>
      </c>
      <c r="C14" s="101">
        <v>5</v>
      </c>
      <c r="D14" s="115">
        <f>'Defunciones generales'!D31</f>
        <v>140.078921052852</v>
      </c>
      <c r="E14" s="115">
        <f>Homicidios!D563</f>
        <v>0</v>
      </c>
      <c r="F14" s="96">
        <f t="shared" si="0"/>
        <v>1</v>
      </c>
      <c r="G14" s="117">
        <f>LT!H31</f>
        <v>92216</v>
      </c>
      <c r="H14" s="119">
        <f>1-LT!F31</f>
        <v>0.97558199999999995</v>
      </c>
      <c r="I14" s="100">
        <f t="shared" si="1"/>
        <v>2.4418000000000051E-2</v>
      </c>
      <c r="J14" s="121">
        <f>LT!G12</f>
        <v>2.5</v>
      </c>
      <c r="K14" s="123">
        <f>LT!L31</f>
        <v>34.33</v>
      </c>
      <c r="L14" s="100">
        <f t="shared" si="9"/>
        <v>0.97558199999999995</v>
      </c>
      <c r="M14" s="99">
        <f t="shared" si="2"/>
        <v>2.4418000000000051E-2</v>
      </c>
      <c r="N14" s="97">
        <f t="shared" si="8"/>
        <v>92263.50089636023</v>
      </c>
      <c r="O14" s="98">
        <f t="shared" si="3"/>
        <v>2252.8901648873289</v>
      </c>
      <c r="P14" s="100">
        <f t="shared" si="10"/>
        <v>2.6107135455510675</v>
      </c>
      <c r="Q14" s="97">
        <f t="shared" si="4"/>
        <v>455934.70452747465</v>
      </c>
      <c r="R14" s="97">
        <f t="shared" si="5"/>
        <v>3188747.1929681278</v>
      </c>
      <c r="S14" s="96">
        <f t="shared" si="6"/>
        <v>34.561307147341545</v>
      </c>
      <c r="T14" s="95">
        <f t="shared" si="7"/>
        <v>0.23130714734154623</v>
      </c>
    </row>
    <row r="15" spans="2:23" ht="15" customHeight="1" x14ac:dyDescent="0.3">
      <c r="B15" s="102">
        <v>50</v>
      </c>
      <c r="C15" s="101">
        <v>5</v>
      </c>
      <c r="D15" s="115">
        <f>'Defunciones generales'!D32</f>
        <v>119.923680613592</v>
      </c>
      <c r="E15" s="115">
        <f>Homicidios!D564</f>
        <v>3</v>
      </c>
      <c r="F15" s="96">
        <f t="shared" si="0"/>
        <v>0.97498409000915887</v>
      </c>
      <c r="G15" s="117">
        <f>LT!H32</f>
        <v>89964</v>
      </c>
      <c r="H15" s="119">
        <f>1-LT!F32</f>
        <v>0.96747399999999995</v>
      </c>
      <c r="I15" s="100">
        <f t="shared" si="1"/>
        <v>3.2526000000000055E-2</v>
      </c>
      <c r="J15" s="121">
        <f>LT!G13</f>
        <v>2.5</v>
      </c>
      <c r="K15" s="123">
        <f>LT!L32</f>
        <v>30.12</v>
      </c>
      <c r="L15" s="100">
        <f t="shared" si="9"/>
        <v>0.96827462005408271</v>
      </c>
      <c r="M15" s="99">
        <f t="shared" si="2"/>
        <v>3.1725379945917287E-2</v>
      </c>
      <c r="N15" s="97">
        <f t="shared" si="8"/>
        <v>90010.610731472902</v>
      </c>
      <c r="O15" s="98">
        <f t="shared" si="3"/>
        <v>2855.6208246200376</v>
      </c>
      <c r="P15" s="100">
        <f t="shared" si="10"/>
        <v>2.6340574172110593</v>
      </c>
      <c r="Q15" s="97">
        <f t="shared" si="4"/>
        <v>443296.81874809705</v>
      </c>
      <c r="R15" s="97">
        <f t="shared" si="5"/>
        <v>2732812.4884406533</v>
      </c>
      <c r="S15" s="96">
        <f t="shared" si="6"/>
        <v>30.361003733142148</v>
      </c>
      <c r="T15" s="95">
        <f t="shared" si="7"/>
        <v>0.24100373314214707</v>
      </c>
    </row>
    <row r="16" spans="2:23" ht="15" customHeight="1" x14ac:dyDescent="0.3">
      <c r="B16" s="102">
        <v>55</v>
      </c>
      <c r="C16" s="101">
        <v>5</v>
      </c>
      <c r="D16" s="115">
        <f>'Defunciones generales'!D33</f>
        <v>166.28073362388901</v>
      </c>
      <c r="E16" s="115">
        <f>Homicidios!D565</f>
        <v>3</v>
      </c>
      <c r="F16" s="96">
        <f t="shared" si="0"/>
        <v>0.98195822249145404</v>
      </c>
      <c r="G16" s="117">
        <f>LT!H33</f>
        <v>87038</v>
      </c>
      <c r="H16" s="119">
        <f>1-LT!F33</f>
        <v>0.95222600000000002</v>
      </c>
      <c r="I16" s="100">
        <f t="shared" si="1"/>
        <v>4.7773999999999983E-2</v>
      </c>
      <c r="J16" s="121">
        <f>LT!G14</f>
        <v>2.5</v>
      </c>
      <c r="K16" s="123">
        <f>LT!L33</f>
        <v>26.05</v>
      </c>
      <c r="L16" s="100">
        <f t="shared" si="9"/>
        <v>0.9530673745678151</v>
      </c>
      <c r="M16" s="99">
        <f t="shared" si="2"/>
        <v>4.6932625432184905E-2</v>
      </c>
      <c r="N16" s="97">
        <f t="shared" si="8"/>
        <v>87154.989906852861</v>
      </c>
      <c r="O16" s="98">
        <f t="shared" si="3"/>
        <v>4090.4124958441812</v>
      </c>
      <c r="P16" s="100">
        <f t="shared" si="10"/>
        <v>2.6248511090026172</v>
      </c>
      <c r="Q16" s="97">
        <f t="shared" si="4"/>
        <v>426059.61083103815</v>
      </c>
      <c r="R16" s="97">
        <f t="shared" si="5"/>
        <v>2289515.6696925564</v>
      </c>
      <c r="S16" s="96">
        <f t="shared" si="6"/>
        <v>26.269473178064533</v>
      </c>
      <c r="T16" s="95">
        <f t="shared" si="7"/>
        <v>0.2194731780645327</v>
      </c>
    </row>
    <row r="17" spans="2:28" ht="15" customHeight="1" x14ac:dyDescent="0.3">
      <c r="B17" s="102">
        <v>60</v>
      </c>
      <c r="C17" s="101">
        <v>5</v>
      </c>
      <c r="D17" s="115">
        <f>'Defunciones generales'!D34</f>
        <v>170.93335755740401</v>
      </c>
      <c r="E17" s="115">
        <f>Homicidios!D566</f>
        <v>6</v>
      </c>
      <c r="F17" s="96">
        <f t="shared" si="0"/>
        <v>0.9648986009182845</v>
      </c>
      <c r="G17" s="117">
        <f>LT!H34</f>
        <v>82880</v>
      </c>
      <c r="H17" s="119">
        <f>1-LT!F34</f>
        <v>0.93386499999999995</v>
      </c>
      <c r="I17" s="100">
        <f t="shared" si="1"/>
        <v>6.6135000000000055E-2</v>
      </c>
      <c r="J17" s="121">
        <f>LT!G15</f>
        <v>2.5</v>
      </c>
      <c r="K17" s="123">
        <f>LT!L34</f>
        <v>22.23</v>
      </c>
      <c r="L17" s="100">
        <f t="shared" si="9"/>
        <v>0.93611061219266034</v>
      </c>
      <c r="M17" s="99">
        <f t="shared" si="2"/>
        <v>6.3889387807339659E-2</v>
      </c>
      <c r="N17" s="97">
        <f t="shared" si="8"/>
        <v>83064.577411008679</v>
      </c>
      <c r="O17" s="98">
        <f t="shared" si="3"/>
        <v>5306.9449992647187</v>
      </c>
      <c r="P17" s="100">
        <f t="shared" si="10"/>
        <v>2.6076761355769551</v>
      </c>
      <c r="Q17" s="97">
        <f t="shared" si="4"/>
        <v>402626.9558861219</v>
      </c>
      <c r="R17" s="97">
        <f t="shared" si="5"/>
        <v>1863456.0588615183</v>
      </c>
      <c r="S17" s="96">
        <f t="shared" si="6"/>
        <v>22.433823381066784</v>
      </c>
      <c r="T17" s="95">
        <f t="shared" si="7"/>
        <v>0.20382338106678333</v>
      </c>
    </row>
    <row r="18" spans="2:28" ht="15" customHeight="1" x14ac:dyDescent="0.3">
      <c r="B18" s="102">
        <v>65</v>
      </c>
      <c r="C18" s="101">
        <v>5</v>
      </c>
      <c r="D18" s="115">
        <f>'Defunciones generales'!D35</f>
        <v>162.811103133047</v>
      </c>
      <c r="E18" s="115">
        <f>Homicidios!D567</f>
        <v>4</v>
      </c>
      <c r="F18" s="96">
        <f t="shared" si="0"/>
        <v>0.97543165101749074</v>
      </c>
      <c r="G18" s="117">
        <f>LT!H35</f>
        <v>77399</v>
      </c>
      <c r="H18" s="119">
        <f>1-LT!F35</f>
        <v>0.91000999999999999</v>
      </c>
      <c r="I18" s="100">
        <f t="shared" si="1"/>
        <v>8.9990000000000014E-2</v>
      </c>
      <c r="J18" s="121">
        <f>LT!G16</f>
        <v>2.5</v>
      </c>
      <c r="K18" s="123">
        <f>LT!L35</f>
        <v>18.63</v>
      </c>
      <c r="L18" s="100">
        <f t="shared" si="9"/>
        <v>0.91212074410890331</v>
      </c>
      <c r="M18" s="99">
        <f t="shared" si="2"/>
        <v>8.7879255891096686E-2</v>
      </c>
      <c r="N18" s="97">
        <f t="shared" si="8"/>
        <v>77757.632411743965</v>
      </c>
      <c r="O18" s="98">
        <f t="shared" si="3"/>
        <v>6833.2828761974815</v>
      </c>
      <c r="P18" s="100">
        <f t="shared" si="10"/>
        <v>2.6182356317948039</v>
      </c>
      <c r="Q18" s="97">
        <f t="shared" si="4"/>
        <v>372512.89238632598</v>
      </c>
      <c r="R18" s="97">
        <f t="shared" si="5"/>
        <v>1460829.1029753964</v>
      </c>
      <c r="S18" s="96">
        <f t="shared" si="6"/>
        <v>18.786954510651523</v>
      </c>
      <c r="T18" s="95">
        <f t="shared" si="7"/>
        <v>0.15695451065152355</v>
      </c>
    </row>
    <row r="19" spans="2:28" ht="15" customHeight="1" x14ac:dyDescent="0.3">
      <c r="B19" s="102">
        <v>70</v>
      </c>
      <c r="C19" s="101">
        <v>5</v>
      </c>
      <c r="D19" s="115">
        <f>'Defunciones generales'!D36</f>
        <v>146.60775553837399</v>
      </c>
      <c r="E19" s="115">
        <f>Homicidios!D568</f>
        <v>2</v>
      </c>
      <c r="F19" s="96">
        <f t="shared" si="0"/>
        <v>0.98635815688838846</v>
      </c>
      <c r="G19" s="117">
        <f>LT!H36</f>
        <v>70433</v>
      </c>
      <c r="H19" s="119">
        <f>1-LT!F36</f>
        <v>0.86882700000000002</v>
      </c>
      <c r="I19" s="100">
        <f t="shared" si="1"/>
        <v>0.13117299999999998</v>
      </c>
      <c r="J19" s="121">
        <f>LT!G17</f>
        <v>2.5</v>
      </c>
      <c r="K19" s="123">
        <f>LT!L36</f>
        <v>15.22</v>
      </c>
      <c r="L19" s="100">
        <f t="shared" si="9"/>
        <v>0.87049518048042951</v>
      </c>
      <c r="M19" s="99">
        <f t="shared" si="2"/>
        <v>0.12950481951957049</v>
      </c>
      <c r="N19" s="97">
        <f t="shared" si="8"/>
        <v>70924.349535546484</v>
      </c>
      <c r="O19" s="98">
        <f t="shared" si="3"/>
        <v>9185.0450861438803</v>
      </c>
      <c r="P19" s="100">
        <f t="shared" si="10"/>
        <v>2.6065711797814957</v>
      </c>
      <c r="Q19" s="97">
        <f>(C19*N20)+(P19*O19)</f>
        <v>332637.99605354929</v>
      </c>
      <c r="R19" s="97">
        <f t="shared" si="5"/>
        <v>1088316.2105890706</v>
      </c>
      <c r="S19" s="96">
        <f t="shared" si="6"/>
        <v>15.344747152649159</v>
      </c>
      <c r="T19" s="95">
        <f t="shared" si="7"/>
        <v>0.12474715264915837</v>
      </c>
    </row>
    <row r="20" spans="2:28" ht="15" customHeight="1" x14ac:dyDescent="0.3">
      <c r="B20" s="102">
        <v>75</v>
      </c>
      <c r="C20" s="101">
        <v>5</v>
      </c>
      <c r="D20" s="115">
        <f>'Defunciones generales'!D37</f>
        <v>185.96881907337499</v>
      </c>
      <c r="E20" s="115">
        <f>Homicidios!D569</f>
        <v>4</v>
      </c>
      <c r="F20" s="96">
        <f t="shared" si="0"/>
        <v>0.97849101790326598</v>
      </c>
      <c r="G20" s="117">
        <f>LT!H37</f>
        <v>61194</v>
      </c>
      <c r="H20" s="119">
        <f>1-LT!F37</f>
        <v>0.80952999999999997</v>
      </c>
      <c r="I20" s="100">
        <f t="shared" si="1"/>
        <v>0.19047000000000003</v>
      </c>
      <c r="J20" s="121">
        <f>LT!G18</f>
        <v>2.5</v>
      </c>
      <c r="K20" s="123">
        <f>LT!L37</f>
        <v>12.15</v>
      </c>
      <c r="L20" s="100">
        <f t="shared" si="9"/>
        <v>0.81321758939970268</v>
      </c>
      <c r="M20" s="99">
        <f t="shared" si="2"/>
        <v>0.18678241060029732</v>
      </c>
      <c r="N20" s="97">
        <f t="shared" si="8"/>
        <v>61739.304449402603</v>
      </c>
      <c r="O20" s="98">
        <f t="shared" si="3"/>
        <v>11531.81611384508</v>
      </c>
      <c r="P20" s="100">
        <f t="shared" si="10"/>
        <v>2.6023245536077337</v>
      </c>
      <c r="Q20" s="97">
        <f t="shared" si="4"/>
        <v>281046.96989853599</v>
      </c>
      <c r="R20" s="97">
        <f t="shared" si="5"/>
        <v>755678.21453552134</v>
      </c>
      <c r="S20" s="96">
        <f t="shared" si="6"/>
        <v>12.239823905933774</v>
      </c>
      <c r="T20" s="95">
        <f t="shared" si="7"/>
        <v>8.9823905933773318E-2</v>
      </c>
    </row>
    <row r="21" spans="2:28" ht="15" customHeight="1" x14ac:dyDescent="0.3">
      <c r="B21" s="102">
        <v>80</v>
      </c>
      <c r="C21" s="101">
        <v>5</v>
      </c>
      <c r="D21" s="115">
        <f>'Defunciones generales'!D38</f>
        <v>204.56581043865799</v>
      </c>
      <c r="E21" s="115">
        <f>Homicidios!D570</f>
        <v>3</v>
      </c>
      <c r="F21" s="96">
        <f t="shared" si="0"/>
        <v>0.98533479278102731</v>
      </c>
      <c r="G21" s="117">
        <f>LT!H38</f>
        <v>49539</v>
      </c>
      <c r="H21" s="119">
        <f>1-LT!F38</f>
        <v>0.70058200000000004</v>
      </c>
      <c r="I21" s="100">
        <f t="shared" si="1"/>
        <v>0.29941799999999996</v>
      </c>
      <c r="J21" s="121">
        <f>LT!G19</f>
        <v>2.5</v>
      </c>
      <c r="K21" s="123">
        <f>LT!L38</f>
        <v>9.42</v>
      </c>
      <c r="L21" s="100">
        <f t="shared" si="9"/>
        <v>0.70424756003819322</v>
      </c>
      <c r="M21" s="99">
        <f t="shared" si="2"/>
        <v>0.29575243996180678</v>
      </c>
      <c r="N21" s="97">
        <f t="shared" si="8"/>
        <v>50207.488335557522</v>
      </c>
      <c r="O21" s="98">
        <f t="shared" si="3"/>
        <v>14848.987179595089</v>
      </c>
      <c r="P21" s="98">
        <f>C21+(F21*(I21/M21)*(J21-C21))</f>
        <v>2.5061323837006286</v>
      </c>
      <c r="Q21" s="97">
        <f>(C21*N22)+(P21*O21)</f>
        <v>214006.03341575089</v>
      </c>
      <c r="R21" s="97">
        <f t="shared" si="5"/>
        <v>474631.2446369853</v>
      </c>
      <c r="S21" s="96">
        <f t="shared" si="6"/>
        <v>9.4533955067584206</v>
      </c>
      <c r="T21" s="95">
        <f t="shared" si="7"/>
        <v>3.3395506758420623E-2</v>
      </c>
    </row>
    <row r="22" spans="2:28" ht="15" customHeight="1" x14ac:dyDescent="0.3">
      <c r="B22" s="94">
        <v>85</v>
      </c>
      <c r="C22" s="93">
        <v>5</v>
      </c>
      <c r="D22" s="116">
        <f>'Defunciones generales'!D39</f>
        <v>299.91654117946803</v>
      </c>
      <c r="E22" s="116">
        <f>Homicidios!D571</f>
        <v>0</v>
      </c>
      <c r="F22" s="88">
        <f t="shared" si="0"/>
        <v>1</v>
      </c>
      <c r="G22" s="118">
        <f>LT!H39</f>
        <v>34706</v>
      </c>
      <c r="H22" s="120">
        <f>1-LT!F39</f>
        <v>0</v>
      </c>
      <c r="I22" s="92">
        <f t="shared" si="1"/>
        <v>1</v>
      </c>
      <c r="J22" s="122" t="str">
        <f>LT!G20</f>
        <v>NA</v>
      </c>
      <c r="K22" s="124">
        <f>LT!L39</f>
        <v>7.37</v>
      </c>
      <c r="L22" s="92">
        <f t="shared" si="9"/>
        <v>0</v>
      </c>
      <c r="M22" s="91">
        <f t="shared" si="2"/>
        <v>1</v>
      </c>
      <c r="N22" s="89">
        <f t="shared" si="8"/>
        <v>35358.501155962433</v>
      </c>
      <c r="O22" s="90">
        <f t="shared" si="3"/>
        <v>35358.501155962433</v>
      </c>
      <c r="P22" s="92">
        <f>K22/F22</f>
        <v>7.37</v>
      </c>
      <c r="Q22" s="124">
        <f>N22/LT!E39</f>
        <v>260625.21122123441</v>
      </c>
      <c r="R22" s="89">
        <f>Q22</f>
        <v>260625.21122123441</v>
      </c>
      <c r="S22" s="88">
        <f t="shared" si="6"/>
        <v>7.3709349293864426</v>
      </c>
      <c r="T22" s="87">
        <f t="shared" si="7"/>
        <v>9.3492938644246237E-4</v>
      </c>
    </row>
    <row r="24" spans="2:28" ht="15" customHeight="1" x14ac:dyDescent="0.3">
      <c r="B24" s="178" t="s">
        <v>115</v>
      </c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</row>
    <row r="25" spans="2:28" ht="14.4" x14ac:dyDescent="0.3">
      <c r="C25" s="114"/>
      <c r="D25" s="114"/>
      <c r="E25" s="114"/>
      <c r="F25" s="114"/>
    </row>
    <row r="26" spans="2:28" ht="33" customHeight="1" x14ac:dyDescent="0.3">
      <c r="B26" s="113" t="s">
        <v>110</v>
      </c>
      <c r="C26" s="112" t="s">
        <v>109</v>
      </c>
      <c r="D26" s="112" t="s">
        <v>108</v>
      </c>
      <c r="E26" s="112" t="s">
        <v>107</v>
      </c>
      <c r="F26" s="111"/>
      <c r="G26" s="110"/>
      <c r="H26" s="110"/>
      <c r="I26" s="110" t="s">
        <v>106</v>
      </c>
      <c r="J26" s="110"/>
      <c r="K26" s="109" t="s">
        <v>105</v>
      </c>
      <c r="L26" s="110"/>
      <c r="M26" s="110" t="s">
        <v>104</v>
      </c>
      <c r="N26" s="110"/>
      <c r="O26" s="110" t="s">
        <v>103</v>
      </c>
      <c r="P26" s="110"/>
      <c r="Q26" s="110" t="s">
        <v>102</v>
      </c>
      <c r="R26" s="110" t="s">
        <v>101</v>
      </c>
      <c r="S26" s="109" t="s">
        <v>100</v>
      </c>
      <c r="T26" s="108" t="s">
        <v>99</v>
      </c>
      <c r="AA26" s="84" t="s">
        <v>113</v>
      </c>
      <c r="AB26" s="84" t="s">
        <v>112</v>
      </c>
    </row>
    <row r="27" spans="2:28" ht="14.4" x14ac:dyDescent="0.3">
      <c r="B27" s="102">
        <v>0</v>
      </c>
      <c r="C27" s="101">
        <v>1</v>
      </c>
      <c r="D27" s="125">
        <f>'Defunciones generales'!D78</f>
        <v>518.469862579606</v>
      </c>
      <c r="E27" s="125">
        <f>Homicidios!D1218</f>
        <v>35.837945835888199</v>
      </c>
      <c r="F27" s="96">
        <f t="shared" ref="F27:F45" si="11">(D27-E27)/D27</f>
        <v>0.93087747538964116</v>
      </c>
      <c r="G27" s="127">
        <f>LT!H78</f>
        <v>100000</v>
      </c>
      <c r="H27" s="128">
        <f>1-LT!F78</f>
        <v>0.99028000000000005</v>
      </c>
      <c r="I27" s="100">
        <f t="shared" ref="I27:I45" si="12">1-H27</f>
        <v>9.7199999999999509E-3</v>
      </c>
      <c r="J27" s="131">
        <f>LT!G78</f>
        <v>0.08</v>
      </c>
      <c r="K27" s="137">
        <f>LT!L78</f>
        <v>80.69</v>
      </c>
      <c r="L27" s="100">
        <f t="shared" ref="L27:L45" si="13">H27^F27</f>
        <v>0.99094882076946988</v>
      </c>
      <c r="M27" s="99">
        <f t="shared" ref="M27:M45" si="14">1-L27</f>
        <v>9.0511792305301153E-3</v>
      </c>
      <c r="N27" s="97">
        <v>100000</v>
      </c>
      <c r="O27" s="98">
        <f t="shared" ref="O27:O45" si="15">N27*M27</f>
        <v>905.11792305301151</v>
      </c>
      <c r="P27" s="98">
        <f>C27+(F27*(I27/M27)*(J27-C27))</f>
        <v>8.0310032106529983E-2</v>
      </c>
      <c r="Q27" s="97">
        <f t="shared" ref="Q27:Q44" si="16">(C27*N28)+(P27*O27)</f>
        <v>99167.572126407569</v>
      </c>
      <c r="R27" s="97">
        <f t="shared" ref="R27:R44" si="17">R28+Q27</f>
        <v>9001010.0552628543</v>
      </c>
      <c r="S27" s="138">
        <f t="shared" ref="S27:S45" si="18">R27/N27</f>
        <v>90.010100552628543</v>
      </c>
      <c r="T27" s="95">
        <f t="shared" ref="T27:T45" si="19">S27-K27</f>
        <v>9.3201005526285456</v>
      </c>
      <c r="Z27" s="144" t="s">
        <v>135</v>
      </c>
      <c r="AA27" s="86">
        <f>S4</f>
        <v>75.443717300645446</v>
      </c>
      <c r="AB27" s="86">
        <f>S27</f>
        <v>90.010100552628543</v>
      </c>
    </row>
    <row r="28" spans="2:28" ht="14.4" x14ac:dyDescent="0.3">
      <c r="B28" s="102">
        <v>1</v>
      </c>
      <c r="C28" s="101">
        <v>4</v>
      </c>
      <c r="D28" s="125">
        <f>'Defunciones generales'!D79</f>
        <v>77.545991306381197</v>
      </c>
      <c r="E28" s="125">
        <f>Homicidios!D1219</f>
        <v>50.5947470624305</v>
      </c>
      <c r="F28" s="96">
        <f t="shared" si="11"/>
        <v>0.34755174045641352</v>
      </c>
      <c r="G28" s="127">
        <f>LT!H79</f>
        <v>99028</v>
      </c>
      <c r="H28" s="128">
        <f>1-LT!F79</f>
        <v>0.99842600000000004</v>
      </c>
      <c r="I28" s="100">
        <f t="shared" si="12"/>
        <v>1.5739999999999643E-3</v>
      </c>
      <c r="J28" s="131">
        <f>LT!G79</f>
        <v>1.51</v>
      </c>
      <c r="K28" s="132">
        <f>LT!L79</f>
        <v>80.48</v>
      </c>
      <c r="L28" s="100">
        <f t="shared" si="13"/>
        <v>0.99945267242109059</v>
      </c>
      <c r="M28" s="99">
        <f t="shared" si="14"/>
        <v>5.4732757890940675E-4</v>
      </c>
      <c r="N28" s="97">
        <f t="shared" ref="N28:N45" si="20">N27*L27</f>
        <v>99094.882076946989</v>
      </c>
      <c r="O28" s="98">
        <f t="shared" si="15"/>
        <v>54.237361889488561</v>
      </c>
      <c r="P28" s="98">
        <f>C28+(F28*(I28/M28)*(J28-C28))</f>
        <v>1.5112790095186601</v>
      </c>
      <c r="Q28" s="97">
        <f t="shared" si="16"/>
        <v>396244.54664678522</v>
      </c>
      <c r="R28" s="97">
        <f t="shared" si="17"/>
        <v>8901842.4831364471</v>
      </c>
      <c r="S28" s="96">
        <f t="shared" si="18"/>
        <v>89.831505891739027</v>
      </c>
      <c r="T28" s="95">
        <f t="shared" si="19"/>
        <v>9.3515058917390235</v>
      </c>
      <c r="U28" s="107"/>
      <c r="V28" s="172" t="s">
        <v>98</v>
      </c>
      <c r="W28" s="173"/>
      <c r="Z28" s="144" t="s">
        <v>136</v>
      </c>
      <c r="AA28" s="86">
        <f>K4</f>
        <v>75.19</v>
      </c>
      <c r="AB28" s="86">
        <f>K27</f>
        <v>80.69</v>
      </c>
    </row>
    <row r="29" spans="2:28" ht="14.4" x14ac:dyDescent="0.3">
      <c r="B29" s="102">
        <v>5</v>
      </c>
      <c r="C29" s="101">
        <v>5</v>
      </c>
      <c r="D29" s="125">
        <f>'Defunciones generales'!D80</f>
        <v>31.219814681789799</v>
      </c>
      <c r="E29" s="125">
        <f>Homicidios!D1220</f>
        <v>35.837945835888199</v>
      </c>
      <c r="F29" s="96">
        <f t="shared" si="11"/>
        <v>-0.14792308029913159</v>
      </c>
      <c r="G29" s="127">
        <f>LT!H80</f>
        <v>98872</v>
      </c>
      <c r="H29" s="128">
        <f>1-LT!F80</f>
        <v>0.99891600000000003</v>
      </c>
      <c r="I29" s="100">
        <f t="shared" si="12"/>
        <v>1.0839999999999739E-3</v>
      </c>
      <c r="J29" s="131">
        <f>LT!G80</f>
        <v>2.5</v>
      </c>
      <c r="K29" s="132">
        <f>LT!L80</f>
        <v>76.61</v>
      </c>
      <c r="L29" s="100">
        <f t="shared" si="13"/>
        <v>1.0001604484613307</v>
      </c>
      <c r="M29" s="99">
        <f t="shared" si="14"/>
        <v>-1.6044846133067558E-4</v>
      </c>
      <c r="N29" s="97">
        <f t="shared" si="20"/>
        <v>99040.644715057497</v>
      </c>
      <c r="O29" s="98">
        <f t="shared" si="15"/>
        <v>-15.890919053729082</v>
      </c>
      <c r="P29" s="98">
        <f>C29+(F29*(I29/M29)*(J29-C29))</f>
        <v>2.5015556753488437</v>
      </c>
      <c r="Q29" s="97">
        <f t="shared" si="16"/>
        <v>495242.92615181074</v>
      </c>
      <c r="R29" s="97">
        <f t="shared" si="17"/>
        <v>8505597.9364896622</v>
      </c>
      <c r="S29" s="96">
        <f t="shared" si="18"/>
        <v>85.879872460043941</v>
      </c>
      <c r="T29" s="95">
        <f t="shared" si="19"/>
        <v>9.2698724600439419</v>
      </c>
      <c r="U29" s="107"/>
      <c r="V29" s="174"/>
      <c r="W29" s="175"/>
      <c r="AA29" s="85">
        <f>AA27-AA28</f>
        <v>0.25371730064544806</v>
      </c>
      <c r="AB29" s="85">
        <f>AB27-AB28</f>
        <v>9.3201005526285456</v>
      </c>
    </row>
    <row r="30" spans="2:28" ht="14.4" x14ac:dyDescent="0.3">
      <c r="B30" s="102">
        <v>10</v>
      </c>
      <c r="C30" s="101">
        <v>5</v>
      </c>
      <c r="D30" s="125">
        <f>'Defunciones generales'!D81</f>
        <v>32.226905477976601</v>
      </c>
      <c r="E30" s="125">
        <f>Homicidios!D1221</f>
        <v>59.027204906168897</v>
      </c>
      <c r="F30" s="96">
        <f t="shared" si="11"/>
        <v>-0.83161256194788025</v>
      </c>
      <c r="G30" s="127">
        <f>LT!H81</f>
        <v>98765</v>
      </c>
      <c r="H30" s="128">
        <f>1-LT!F81</f>
        <v>0.99874399999999997</v>
      </c>
      <c r="I30" s="100">
        <f t="shared" si="12"/>
        <v>1.2560000000000349E-3</v>
      </c>
      <c r="J30" s="131">
        <f>LT!G81</f>
        <v>2.5</v>
      </c>
      <c r="K30" s="132">
        <f>LT!L81</f>
        <v>71.69</v>
      </c>
      <c r="L30" s="100">
        <f t="shared" si="13"/>
        <v>1.001045708248957</v>
      </c>
      <c r="M30" s="99">
        <f t="shared" si="14"/>
        <v>-1.0457082489570002E-3</v>
      </c>
      <c r="N30" s="97">
        <f t="shared" si="20"/>
        <v>99056.53563411122</v>
      </c>
      <c r="O30" s="98">
        <f t="shared" si="15"/>
        <v>-103.58423642569313</v>
      </c>
      <c r="P30" s="100">
        <f>(((-5/24)*O29)+((2.5)*O30)+((5/24)*O31))/O30</f>
        <v>4.9182062478797484</v>
      </c>
      <c r="Q30" s="97">
        <f t="shared" si="16"/>
        <v>495291.1507139139</v>
      </c>
      <c r="R30" s="97">
        <f t="shared" si="17"/>
        <v>8010355.010337851</v>
      </c>
      <c r="S30" s="96">
        <f t="shared" si="18"/>
        <v>80.866496683530244</v>
      </c>
      <c r="T30" s="95">
        <f t="shared" si="19"/>
        <v>9.1764966835302459</v>
      </c>
      <c r="U30" s="107"/>
      <c r="V30" s="176"/>
      <c r="W30" s="177"/>
    </row>
    <row r="31" spans="2:28" ht="14.4" x14ac:dyDescent="0.3">
      <c r="B31" s="102">
        <v>15</v>
      </c>
      <c r="C31" s="101">
        <v>5</v>
      </c>
      <c r="D31" s="125">
        <f>'Defunciones generales'!D82</f>
        <v>63.4467201597665</v>
      </c>
      <c r="E31" s="125">
        <f>Homicidios!D1222</f>
        <v>391.05523250336898</v>
      </c>
      <c r="F31" s="96">
        <f t="shared" si="11"/>
        <v>-5.1635216370309553</v>
      </c>
      <c r="G31" s="127">
        <f>LT!H82</f>
        <v>98641</v>
      </c>
      <c r="H31" s="128">
        <f>1-LT!F82</f>
        <v>0.99763800000000002</v>
      </c>
      <c r="I31" s="100">
        <f t="shared" si="12"/>
        <v>2.3619999999999752E-3</v>
      </c>
      <c r="J31" s="131">
        <f>LT!G82</f>
        <v>2.5</v>
      </c>
      <c r="K31" s="132">
        <f>LT!L82</f>
        <v>66.77</v>
      </c>
      <c r="L31" s="100">
        <f t="shared" si="13"/>
        <v>1.0122855191142899</v>
      </c>
      <c r="M31" s="99">
        <f t="shared" si="14"/>
        <v>-1.2285519114289878E-2</v>
      </c>
      <c r="N31" s="97">
        <f t="shared" si="20"/>
        <v>99160.119870536917</v>
      </c>
      <c r="O31" s="98">
        <f t="shared" si="15"/>
        <v>-1218.2335480447568</v>
      </c>
      <c r="P31" s="100">
        <f>(((-5/24)*O30)+((2.5)*O31)+((5/24)*O32))/O31</f>
        <v>2.6684465952678216</v>
      </c>
      <c r="Q31" s="97">
        <f t="shared" si="16"/>
        <v>498640.97592938726</v>
      </c>
      <c r="R31" s="97">
        <f t="shared" si="17"/>
        <v>7515063.8596239369</v>
      </c>
      <c r="S31" s="96">
        <f t="shared" si="18"/>
        <v>75.787159892863954</v>
      </c>
      <c r="T31" s="95">
        <f t="shared" si="19"/>
        <v>9.0171598928639582</v>
      </c>
      <c r="U31" s="84"/>
      <c r="V31" s="106" t="s">
        <v>97</v>
      </c>
      <c r="W31" s="106" t="s">
        <v>96</v>
      </c>
    </row>
    <row r="32" spans="2:28" ht="14.4" x14ac:dyDescent="0.3">
      <c r="B32" s="102">
        <v>20</v>
      </c>
      <c r="C32" s="101">
        <v>5</v>
      </c>
      <c r="D32" s="125">
        <f>'Defunciones generales'!D83</f>
        <v>113.801259969105</v>
      </c>
      <c r="E32" s="125">
        <f>Homicidios!D1223</f>
        <v>622.94782320617503</v>
      </c>
      <c r="F32" s="96">
        <f t="shared" si="11"/>
        <v>-4.4739975934826575</v>
      </c>
      <c r="G32" s="127">
        <f>LT!H83</f>
        <v>98408</v>
      </c>
      <c r="H32" s="128">
        <f>1-LT!F83</f>
        <v>0.99759200000000003</v>
      </c>
      <c r="I32" s="100">
        <f t="shared" si="12"/>
        <v>2.4079999999999657E-3</v>
      </c>
      <c r="J32" s="131">
        <f>LT!G83</f>
        <v>2.5</v>
      </c>
      <c r="K32" s="132">
        <f>LT!L83</f>
        <v>61.93</v>
      </c>
      <c r="L32" s="100">
        <f t="shared" si="13"/>
        <v>1.0108447609242037</v>
      </c>
      <c r="M32" s="99">
        <f t="shared" si="14"/>
        <v>-1.0844760924203722E-2</v>
      </c>
      <c r="N32" s="97">
        <f t="shared" si="20"/>
        <v>100378.35341858167</v>
      </c>
      <c r="O32" s="98">
        <f t="shared" si="15"/>
        <v>-1088.5792447897456</v>
      </c>
      <c r="P32" s="100">
        <f>(((-5/24)*O31)+((2.5)*O32)+((5/24)*O33))/O32</f>
        <v>2.5074169553688375</v>
      </c>
      <c r="Q32" s="97">
        <f t="shared" si="16"/>
        <v>504605.14126120869</v>
      </c>
      <c r="R32" s="97">
        <f t="shared" si="17"/>
        <v>7016422.88369455</v>
      </c>
      <c r="S32" s="96">
        <f t="shared" si="18"/>
        <v>69.899760702746249</v>
      </c>
      <c r="T32" s="95">
        <f t="shared" si="19"/>
        <v>7.9697607027462496</v>
      </c>
      <c r="U32" s="105"/>
      <c r="V32" s="103">
        <f>([1]TV!M29-[1]TV!M47)/[1]TV!J29</f>
        <v>73.32569985958979</v>
      </c>
      <c r="W32" s="103">
        <f>(R27-R45)/N27</f>
        <v>85.120468533237727</v>
      </c>
    </row>
    <row r="33" spans="2:23" ht="14.4" x14ac:dyDescent="0.3">
      <c r="B33" s="102">
        <v>25</v>
      </c>
      <c r="C33" s="101">
        <v>5</v>
      </c>
      <c r="D33" s="125">
        <f>'Defunciones generales'!D84</f>
        <v>119.60838092374</v>
      </c>
      <c r="E33" s="125">
        <f>Homicidios!D1224</f>
        <v>610.402001624528</v>
      </c>
      <c r="F33" s="96">
        <f t="shared" si="11"/>
        <v>-4.1033380513168938</v>
      </c>
      <c r="G33" s="127">
        <f>LT!H84</f>
        <v>98171</v>
      </c>
      <c r="H33" s="128">
        <f>1-LT!F84</f>
        <v>0.997004</v>
      </c>
      <c r="I33" s="100">
        <f t="shared" si="12"/>
        <v>2.9959999999999987E-3</v>
      </c>
      <c r="J33" s="131">
        <f>LT!G84</f>
        <v>2.5</v>
      </c>
      <c r="K33" s="132">
        <f>LT!L84</f>
        <v>57.07</v>
      </c>
      <c r="L33" s="100">
        <f t="shared" si="13"/>
        <v>1.0123881588285555</v>
      </c>
      <c r="M33" s="99">
        <f t="shared" si="14"/>
        <v>-1.2388158828555484E-2</v>
      </c>
      <c r="N33" s="97">
        <f t="shared" si="20"/>
        <v>101466.93266337141</v>
      </c>
      <c r="O33" s="98">
        <f t="shared" si="15"/>
        <v>-1256.9884776801894</v>
      </c>
      <c r="P33" s="100">
        <f>(((-5/24)*O32)+((2.5)*O33)+((5/24)*O34))/O33</f>
        <v>2.5253401530626021</v>
      </c>
      <c r="Q33" s="97">
        <f t="shared" si="16"/>
        <v>510445.28223063517</v>
      </c>
      <c r="R33" s="97">
        <f t="shared" si="17"/>
        <v>6511817.7424333412</v>
      </c>
      <c r="S33" s="96">
        <f t="shared" si="18"/>
        <v>64.176747749309314</v>
      </c>
      <c r="T33" s="95">
        <f t="shared" si="19"/>
        <v>7.1067477493093136</v>
      </c>
      <c r="V33" s="104" t="s">
        <v>95</v>
      </c>
      <c r="W33" s="103">
        <f>W32-V32</f>
        <v>11.794768673647937</v>
      </c>
    </row>
    <row r="34" spans="2:23" ht="14.4" x14ac:dyDescent="0.3">
      <c r="B34" s="102">
        <v>30</v>
      </c>
      <c r="C34" s="101">
        <v>5</v>
      </c>
      <c r="D34" s="125">
        <f>'Defunciones generales'!D85</f>
        <v>121.85798633859901</v>
      </c>
      <c r="E34" s="125">
        <f>Homicidios!D1225</f>
        <v>526.07353703178796</v>
      </c>
      <c r="F34" s="96">
        <f t="shared" si="11"/>
        <v>-3.3171034811786648</v>
      </c>
      <c r="G34" s="127">
        <f>LT!H85</f>
        <v>97877</v>
      </c>
      <c r="H34" s="128">
        <f>1-LT!F85</f>
        <v>0.99638499999999997</v>
      </c>
      <c r="I34" s="100">
        <f t="shared" si="12"/>
        <v>3.6150000000000349E-3</v>
      </c>
      <c r="J34" s="131">
        <f>LT!G85</f>
        <v>2.5</v>
      </c>
      <c r="K34" s="132">
        <f>LT!L85</f>
        <v>52.23</v>
      </c>
      <c r="L34" s="100">
        <f t="shared" si="13"/>
        <v>1.0120855023545325</v>
      </c>
      <c r="M34" s="99">
        <f t="shared" si="14"/>
        <v>-1.208550235453254E-2</v>
      </c>
      <c r="N34" s="97">
        <f t="shared" si="20"/>
        <v>102723.9211410516</v>
      </c>
      <c r="O34" s="98">
        <f t="shared" si="15"/>
        <v>-1241.4701908169941</v>
      </c>
      <c r="P34" s="100">
        <f t="shared" ref="P34:P42" si="21">(((-5/24)*O33)+((2.5)*O34)+((5/24)*O35))/O34</f>
        <v>2.4676665885362428</v>
      </c>
      <c r="Q34" s="97">
        <f t="shared" si="16"/>
        <v>516763.42214880016</v>
      </c>
      <c r="R34" s="97">
        <f t="shared" si="17"/>
        <v>6001372.460202706</v>
      </c>
      <c r="S34" s="96">
        <f t="shared" si="18"/>
        <v>58.422345969077064</v>
      </c>
      <c r="T34" s="95">
        <f t="shared" si="19"/>
        <v>6.192345969077067</v>
      </c>
    </row>
    <row r="35" spans="2:23" ht="14.4" x14ac:dyDescent="0.3">
      <c r="B35" s="102">
        <v>35</v>
      </c>
      <c r="C35" s="101">
        <v>5</v>
      </c>
      <c r="D35" s="125">
        <f>'Defunciones generales'!D86</f>
        <v>132.93598509665401</v>
      </c>
      <c r="E35" s="125">
        <f>Homicidios!D1226</f>
        <v>408.974205421313</v>
      </c>
      <c r="F35" s="96">
        <f t="shared" si="11"/>
        <v>-2.0764747793756473</v>
      </c>
      <c r="G35" s="127">
        <f>LT!H86</f>
        <v>97523</v>
      </c>
      <c r="H35" s="128">
        <f>1-LT!F86</f>
        <v>0.99510699999999996</v>
      </c>
      <c r="I35" s="100">
        <f t="shared" si="12"/>
        <v>4.8930000000000362E-3</v>
      </c>
      <c r="J35" s="131">
        <f>LT!G86</f>
        <v>2.5</v>
      </c>
      <c r="K35" s="132">
        <f>LT!L86</f>
        <v>47.41</v>
      </c>
      <c r="L35" s="100">
        <f t="shared" si="13"/>
        <v>1.0102371743601133</v>
      </c>
      <c r="M35" s="99">
        <f t="shared" si="14"/>
        <v>-1.0237174360113288E-2</v>
      </c>
      <c r="N35" s="97">
        <f t="shared" si="20"/>
        <v>103965.3913318686</v>
      </c>
      <c r="O35" s="98">
        <f t="shared" si="15"/>
        <v>-1064.3118384817494</v>
      </c>
      <c r="P35" s="100">
        <f t="shared" si="21"/>
        <v>2.4927350520414859</v>
      </c>
      <c r="Q35" s="97">
        <f t="shared" si="16"/>
        <v>522495.46842566552</v>
      </c>
      <c r="R35" s="97">
        <f t="shared" si="17"/>
        <v>5484609.0380539056</v>
      </c>
      <c r="S35" s="96">
        <f t="shared" si="18"/>
        <v>52.754180672936151</v>
      </c>
      <c r="T35" s="95">
        <f t="shared" si="19"/>
        <v>5.3441806729361545</v>
      </c>
    </row>
    <row r="36" spans="2:23" ht="14.4" x14ac:dyDescent="0.3">
      <c r="B36" s="102">
        <v>40</v>
      </c>
      <c r="C36" s="101">
        <v>5</v>
      </c>
      <c r="D36" s="125">
        <f>'Defunciones generales'!D87</f>
        <v>140.99271146614799</v>
      </c>
      <c r="E36" s="125">
        <f>Homicidios!D1227</f>
        <v>357.42276499793201</v>
      </c>
      <c r="F36" s="96">
        <f t="shared" si="11"/>
        <v>-1.5350442677581126</v>
      </c>
      <c r="G36" s="127">
        <f>LT!H87</f>
        <v>97046</v>
      </c>
      <c r="H36" s="128">
        <f>1-LT!F87</f>
        <v>0.99260000000000004</v>
      </c>
      <c r="I36" s="100">
        <f t="shared" si="12"/>
        <v>7.3999999999999622E-3</v>
      </c>
      <c r="J36" s="131">
        <f>LT!G87</f>
        <v>2.5</v>
      </c>
      <c r="K36" s="132">
        <f>LT!L87</f>
        <v>42.63</v>
      </c>
      <c r="L36" s="100">
        <f t="shared" si="13"/>
        <v>1.0114668111771796</v>
      </c>
      <c r="M36" s="99">
        <f t="shared" si="14"/>
        <v>-1.1466811177179626E-2</v>
      </c>
      <c r="N36" s="97">
        <f t="shared" si="20"/>
        <v>105029.70317035035</v>
      </c>
      <c r="O36" s="98">
        <f t="shared" si="15"/>
        <v>-1204.3557742496316</v>
      </c>
      <c r="P36" s="100">
        <f t="shared" si="21"/>
        <v>2.4592206103648908</v>
      </c>
      <c r="Q36" s="97">
        <f t="shared" si="16"/>
        <v>528208.51818075322</v>
      </c>
      <c r="R36" s="97">
        <f t="shared" si="17"/>
        <v>4962113.5696282396</v>
      </c>
      <c r="S36" s="96">
        <f t="shared" si="18"/>
        <v>47.244859500174549</v>
      </c>
      <c r="T36" s="95">
        <f t="shared" si="19"/>
        <v>4.6148595001745463</v>
      </c>
    </row>
    <row r="37" spans="2:23" ht="14.4" x14ac:dyDescent="0.3">
      <c r="B37" s="102">
        <v>45</v>
      </c>
      <c r="C37" s="101">
        <v>5</v>
      </c>
      <c r="D37" s="125">
        <f>'Defunciones generales'!D88</f>
        <v>136.96434828140099</v>
      </c>
      <c r="E37" s="125">
        <f>Homicidios!D1228</f>
        <v>240.50040429156201</v>
      </c>
      <c r="F37" s="96">
        <f t="shared" si="11"/>
        <v>-0.75593435305836187</v>
      </c>
      <c r="G37" s="127">
        <f>LT!H88</f>
        <v>96328</v>
      </c>
      <c r="H37" s="128">
        <f>1-LT!F88</f>
        <v>0.98977499999999996</v>
      </c>
      <c r="I37" s="100">
        <f t="shared" si="12"/>
        <v>1.022500000000004E-2</v>
      </c>
      <c r="J37" s="131">
        <f>LT!G88</f>
        <v>2.5</v>
      </c>
      <c r="K37" s="132">
        <f>LT!L88</f>
        <v>37.93</v>
      </c>
      <c r="L37" s="100">
        <f t="shared" si="13"/>
        <v>1.0077994755966373</v>
      </c>
      <c r="M37" s="99">
        <f t="shared" si="14"/>
        <v>-7.7994755966372953E-3</v>
      </c>
      <c r="N37" s="97">
        <f t="shared" si="20"/>
        <v>106234.05894459998</v>
      </c>
      <c r="O37" s="98">
        <f t="shared" si="15"/>
        <v>-828.56995027013556</v>
      </c>
      <c r="P37" s="100">
        <f t="shared" si="21"/>
        <v>2.2362978745783821</v>
      </c>
      <c r="Q37" s="97">
        <f t="shared" si="16"/>
        <v>533460.21525562194</v>
      </c>
      <c r="R37" s="97">
        <f t="shared" si="17"/>
        <v>4433905.0514474865</v>
      </c>
      <c r="S37" s="96">
        <f t="shared" si="18"/>
        <v>41.737133039035292</v>
      </c>
      <c r="T37" s="95">
        <f t="shared" si="19"/>
        <v>3.8071330390352927</v>
      </c>
    </row>
    <row r="38" spans="2:23" ht="14.4" x14ac:dyDescent="0.3">
      <c r="B38" s="102">
        <v>50</v>
      </c>
      <c r="C38" s="101">
        <v>5</v>
      </c>
      <c r="D38" s="125">
        <f>'Defunciones generales'!D89</f>
        <v>156.09907340894901</v>
      </c>
      <c r="E38" s="125">
        <f>Homicidios!D1229</f>
        <v>168.64915687476801</v>
      </c>
      <c r="F38" s="96">
        <f t="shared" si="11"/>
        <v>-8.0398193222712078E-2</v>
      </c>
      <c r="G38" s="127">
        <f>LT!H89</f>
        <v>95343</v>
      </c>
      <c r="H38" s="128">
        <f>1-LT!F89</f>
        <v>0.982101</v>
      </c>
      <c r="I38" s="100">
        <f t="shared" si="12"/>
        <v>1.7898999999999998E-2</v>
      </c>
      <c r="J38" s="131">
        <f>LT!G89</f>
        <v>2.5</v>
      </c>
      <c r="K38" s="132">
        <f>LT!L89</f>
        <v>33.299999999999997</v>
      </c>
      <c r="L38" s="100">
        <f t="shared" si="13"/>
        <v>1.0014531365660575</v>
      </c>
      <c r="M38" s="99">
        <f t="shared" si="14"/>
        <v>-1.4531365660575002E-3</v>
      </c>
      <c r="N38" s="97">
        <f t="shared" si="20"/>
        <v>107062.62889487011</v>
      </c>
      <c r="O38" s="98">
        <f t="shared" si="15"/>
        <v>-155.57662090538005</v>
      </c>
      <c r="P38" s="100">
        <f t="shared" si="21"/>
        <v>1.1346100205708065</v>
      </c>
      <c r="Q38" s="97">
        <f t="shared" si="16"/>
        <v>535914.50878583174</v>
      </c>
      <c r="R38" s="97">
        <f t="shared" si="17"/>
        <v>3900444.8361918647</v>
      </c>
      <c r="S38" s="96">
        <f t="shared" si="18"/>
        <v>36.431431550423603</v>
      </c>
      <c r="T38" s="95">
        <f t="shared" si="19"/>
        <v>3.1314315504236063</v>
      </c>
    </row>
    <row r="39" spans="2:23" ht="14.4" x14ac:dyDescent="0.3">
      <c r="B39" s="102">
        <v>55</v>
      </c>
      <c r="C39" s="101">
        <v>5</v>
      </c>
      <c r="D39" s="125">
        <f>'Defunciones generales'!D90</f>
        <v>145.021074650895</v>
      </c>
      <c r="E39" s="125">
        <f>Homicidios!D1230</f>
        <v>135.973382730282</v>
      </c>
      <c r="F39" s="96">
        <f t="shared" si="11"/>
        <v>6.2388807574300834E-2</v>
      </c>
      <c r="G39" s="127">
        <f>LT!H90</f>
        <v>93636</v>
      </c>
      <c r="H39" s="128">
        <f>1-LT!F90</f>
        <v>0.97181700000000004</v>
      </c>
      <c r="I39" s="100">
        <f t="shared" si="12"/>
        <v>2.8182999999999958E-2</v>
      </c>
      <c r="J39" s="131">
        <f>LT!G90</f>
        <v>2.5</v>
      </c>
      <c r="K39" s="132">
        <f>LT!L90</f>
        <v>28.86</v>
      </c>
      <c r="L39" s="100">
        <f t="shared" si="13"/>
        <v>0.99821803309376855</v>
      </c>
      <c r="M39" s="99">
        <f t="shared" si="14"/>
        <v>1.7819669062314469E-3</v>
      </c>
      <c r="N39" s="97">
        <f t="shared" si="20"/>
        <v>107218.20551577549</v>
      </c>
      <c r="O39" s="98">
        <f t="shared" si="15"/>
        <v>191.05929397463393</v>
      </c>
      <c r="P39" s="100">
        <f t="shared" si="21"/>
        <v>5.213294152798567</v>
      </c>
      <c r="Q39" s="97">
        <f t="shared" si="16"/>
        <v>536131.77940912009</v>
      </c>
      <c r="R39" s="97">
        <f t="shared" si="17"/>
        <v>3364530.3274060329</v>
      </c>
      <c r="S39" s="96">
        <f t="shared" si="18"/>
        <v>31.380214873219405</v>
      </c>
      <c r="T39" s="95">
        <f t="shared" si="19"/>
        <v>2.5202148732194054</v>
      </c>
    </row>
    <row r="40" spans="2:23" ht="14.4" x14ac:dyDescent="0.3">
      <c r="B40" s="102">
        <v>60</v>
      </c>
      <c r="C40" s="101">
        <v>5</v>
      </c>
      <c r="D40" s="125">
        <f>'Defunciones generales'!D91</f>
        <v>168.18416296319</v>
      </c>
      <c r="E40" s="125">
        <f>Homicidios!D1231</f>
        <v>82.216463976449504</v>
      </c>
      <c r="F40" s="96">
        <f t="shared" si="11"/>
        <v>0.51115216481801562</v>
      </c>
      <c r="G40" s="127">
        <f>LT!H91</f>
        <v>90997</v>
      </c>
      <c r="H40" s="128">
        <f>1-LT!F91</f>
        <v>0.95780399999999999</v>
      </c>
      <c r="I40" s="100">
        <f t="shared" si="12"/>
        <v>4.2196000000000011E-2</v>
      </c>
      <c r="J40" s="131">
        <f>LT!G91</f>
        <v>2.5</v>
      </c>
      <c r="K40" s="132">
        <f>LT!L91</f>
        <v>24.63</v>
      </c>
      <c r="L40" s="100">
        <f t="shared" si="13"/>
        <v>0.97820418674790754</v>
      </c>
      <c r="M40" s="99">
        <f t="shared" si="14"/>
        <v>2.1795813252092455E-2</v>
      </c>
      <c r="N40" s="97">
        <f t="shared" si="20"/>
        <v>107027.14622180087</v>
      </c>
      <c r="O40" s="98">
        <f t="shared" si="15"/>
        <v>2332.7436919547645</v>
      </c>
      <c r="P40" s="100">
        <f t="shared" si="21"/>
        <v>2.8830229384705119</v>
      </c>
      <c r="Q40" s="97">
        <f t="shared" si="16"/>
        <v>530197.36622270849</v>
      </c>
      <c r="R40" s="97">
        <f t="shared" si="17"/>
        <v>2828398.5479969131</v>
      </c>
      <c r="S40" s="96">
        <f t="shared" si="18"/>
        <v>26.426926698908684</v>
      </c>
      <c r="T40" s="95">
        <f t="shared" si="19"/>
        <v>1.7969266989086847</v>
      </c>
    </row>
    <row r="41" spans="2:23" ht="14.4" x14ac:dyDescent="0.3">
      <c r="B41" s="102">
        <v>65</v>
      </c>
      <c r="C41" s="101">
        <v>5</v>
      </c>
      <c r="D41" s="125">
        <f>'Defunciones generales'!D92</f>
        <v>185.30470649836599</v>
      </c>
      <c r="E41" s="125">
        <f>Homicidios!D1232</f>
        <v>64.2974910585054</v>
      </c>
      <c r="F41" s="96">
        <f t="shared" si="11"/>
        <v>0.65301749602850823</v>
      </c>
      <c r="G41" s="127">
        <f>LT!H92</f>
        <v>87157</v>
      </c>
      <c r="H41" s="128">
        <f>1-LT!F92</f>
        <v>0.93522400000000006</v>
      </c>
      <c r="I41" s="100">
        <f t="shared" si="12"/>
        <v>6.4775999999999945E-2</v>
      </c>
      <c r="J41" s="131">
        <f>LT!G92</f>
        <v>2.5</v>
      </c>
      <c r="K41" s="132">
        <f>LT!L92</f>
        <v>20.6</v>
      </c>
      <c r="L41" s="100">
        <f t="shared" si="13"/>
        <v>0.95721039487345427</v>
      </c>
      <c r="M41" s="99">
        <f t="shared" si="14"/>
        <v>4.2789605126545727E-2</v>
      </c>
      <c r="N41" s="97">
        <f t="shared" si="20"/>
        <v>104694.40252984611</v>
      </c>
      <c r="O41" s="98">
        <f t="shared" si="15"/>
        <v>4479.8321432117446</v>
      </c>
      <c r="P41" s="100">
        <f t="shared" si="21"/>
        <v>2.7260082667784213</v>
      </c>
      <c r="Q41" s="97">
        <f t="shared" si="16"/>
        <v>513284.91138934664</v>
      </c>
      <c r="R41" s="97">
        <f t="shared" si="17"/>
        <v>2298201.1817742046</v>
      </c>
      <c r="S41" s="96">
        <f t="shared" si="18"/>
        <v>21.951519147540264</v>
      </c>
      <c r="T41" s="95">
        <f t="shared" si="19"/>
        <v>1.3515191475402624</v>
      </c>
    </row>
    <row r="42" spans="2:23" ht="14.4" x14ac:dyDescent="0.3">
      <c r="B42" s="102">
        <v>70</v>
      </c>
      <c r="C42" s="101">
        <v>5</v>
      </c>
      <c r="D42" s="125">
        <f>'Defunciones generales'!D93</f>
        <v>198.396886848794</v>
      </c>
      <c r="E42" s="125">
        <f>Homicidios!D1233</f>
        <v>43.216346449159403</v>
      </c>
      <c r="F42" s="96">
        <f t="shared" si="11"/>
        <v>0.78217225514180444</v>
      </c>
      <c r="G42" s="127">
        <f>LT!H93</f>
        <v>81512</v>
      </c>
      <c r="H42" s="128">
        <f>1-LT!F93</f>
        <v>0.90917300000000001</v>
      </c>
      <c r="I42" s="100">
        <f t="shared" si="12"/>
        <v>9.0826999999999991E-2</v>
      </c>
      <c r="J42" s="131">
        <f>LT!G93</f>
        <v>2.5</v>
      </c>
      <c r="K42" s="132">
        <f>LT!L93</f>
        <v>16.850000000000001</v>
      </c>
      <c r="L42" s="100">
        <f t="shared" si="13"/>
        <v>0.92822756875269041</v>
      </c>
      <c r="M42" s="99">
        <f t="shared" si="14"/>
        <v>7.1772431247309587E-2</v>
      </c>
      <c r="N42" s="97">
        <f t="shared" si="20"/>
        <v>100214.57038663435</v>
      </c>
      <c r="O42" s="98">
        <f t="shared" si="15"/>
        <v>7192.6433630533811</v>
      </c>
      <c r="P42" s="100">
        <f t="shared" si="21"/>
        <v>2.665181968452329</v>
      </c>
      <c r="Q42" s="97">
        <f t="shared" si="16"/>
        <v>484279.33851462306</v>
      </c>
      <c r="R42" s="97">
        <f t="shared" si="17"/>
        <v>1784916.2703848579</v>
      </c>
      <c r="S42" s="96">
        <f t="shared" si="18"/>
        <v>17.810945688820841</v>
      </c>
      <c r="T42" s="95">
        <f t="shared" si="19"/>
        <v>0.96094568882083919</v>
      </c>
    </row>
    <row r="43" spans="2:23" ht="14.4" x14ac:dyDescent="0.3">
      <c r="B43" s="102">
        <v>75</v>
      </c>
      <c r="C43" s="101">
        <v>5</v>
      </c>
      <c r="D43" s="125">
        <f>'Defunciones generales'!D94</f>
        <v>143.006893058521</v>
      </c>
      <c r="E43" s="125">
        <f>Homicidios!D1234</f>
        <v>34.783888605420898</v>
      </c>
      <c r="F43" s="96">
        <f t="shared" si="11"/>
        <v>0.75676774831275651</v>
      </c>
      <c r="G43" s="127">
        <f>LT!H94</f>
        <v>74108</v>
      </c>
      <c r="H43" s="128">
        <f>1-LT!F94</f>
        <v>0.857962</v>
      </c>
      <c r="I43" s="100">
        <f t="shared" si="12"/>
        <v>0.142038</v>
      </c>
      <c r="J43" s="131">
        <f>LT!G94</f>
        <v>2.5</v>
      </c>
      <c r="K43" s="132">
        <f>LT!L94</f>
        <v>13.29</v>
      </c>
      <c r="L43" s="100">
        <f t="shared" si="13"/>
        <v>0.8905345393647115</v>
      </c>
      <c r="M43" s="99">
        <f t="shared" si="14"/>
        <v>0.1094654606352885</v>
      </c>
      <c r="N43" s="97">
        <f t="shared" si="20"/>
        <v>93021.927023580967</v>
      </c>
      <c r="O43" s="98">
        <f t="shared" si="15"/>
        <v>10182.688090818483</v>
      </c>
      <c r="P43" s="100">
        <f>(((-5/24)*O42)+((2.5)*O43)+((5/24)*O44))/O43</f>
        <v>2.7230101252187224</v>
      </c>
      <c r="Q43" s="97">
        <f t="shared" si="16"/>
        <v>441923.75743705523</v>
      </c>
      <c r="R43" s="97">
        <f t="shared" si="17"/>
        <v>1300636.9318702349</v>
      </c>
      <c r="S43" s="96">
        <f t="shared" si="18"/>
        <v>13.982046744102869</v>
      </c>
      <c r="T43" s="95">
        <f t="shared" si="19"/>
        <v>0.69204674410286948</v>
      </c>
    </row>
    <row r="44" spans="2:23" ht="14.4" x14ac:dyDescent="0.3">
      <c r="B44" s="102">
        <v>80</v>
      </c>
      <c r="C44" s="101">
        <v>5</v>
      </c>
      <c r="D44" s="125">
        <f>'Defunciones generales'!D95</f>
        <v>195.37561446023301</v>
      </c>
      <c r="E44" s="125">
        <f>Homicidios!D1235</f>
        <v>25.2973735312152</v>
      </c>
      <c r="F44" s="96">
        <f t="shared" si="11"/>
        <v>0.87051928869882444</v>
      </c>
      <c r="G44" s="127">
        <f>LT!H95</f>
        <v>63582</v>
      </c>
      <c r="H44" s="128">
        <f>1-LT!F95</f>
        <v>0.75346400000000002</v>
      </c>
      <c r="I44" s="100">
        <f t="shared" si="12"/>
        <v>0.24653599999999998</v>
      </c>
      <c r="J44" s="131">
        <f>LT!G95</f>
        <v>2.5</v>
      </c>
      <c r="K44" s="132">
        <f>LT!L95</f>
        <v>10.07</v>
      </c>
      <c r="L44" s="100">
        <f t="shared" si="13"/>
        <v>0.78159278359036699</v>
      </c>
      <c r="M44" s="99">
        <f t="shared" si="14"/>
        <v>0.21840721640963301</v>
      </c>
      <c r="N44" s="97">
        <f t="shared" si="20"/>
        <v>82839.238932762484</v>
      </c>
      <c r="O44" s="98">
        <f t="shared" si="15"/>
        <v>18092.687584797153</v>
      </c>
      <c r="P44" s="98">
        <f>C44+(F44*(I44/M44)*(J44-C44))</f>
        <v>2.5434151525912259</v>
      </c>
      <c r="Q44" s="97">
        <f t="shared" si="16"/>
        <v>369749.97249409888</v>
      </c>
      <c r="R44" s="97">
        <f t="shared" si="17"/>
        <v>858713.17443317967</v>
      </c>
      <c r="S44" s="96">
        <f t="shared" si="18"/>
        <v>10.366019600085474</v>
      </c>
      <c r="T44" s="95">
        <f t="shared" si="19"/>
        <v>0.29601960008547401</v>
      </c>
    </row>
    <row r="45" spans="2:23" ht="14.4" x14ac:dyDescent="0.3">
      <c r="B45" s="94">
        <v>85</v>
      </c>
      <c r="C45" s="93">
        <v>5</v>
      </c>
      <c r="D45" s="126">
        <f>'Defunciones generales'!D96</f>
        <v>302.127238856031</v>
      </c>
      <c r="E45" s="126">
        <f>Homicidios!D1236</f>
        <v>20.344977654733899</v>
      </c>
      <c r="F45" s="88">
        <f t="shared" si="11"/>
        <v>0.93266089568167454</v>
      </c>
      <c r="G45" s="129">
        <f>LT!H96</f>
        <v>47907</v>
      </c>
      <c r="H45" s="130">
        <f>1-LT!F96</f>
        <v>0</v>
      </c>
      <c r="I45" s="92">
        <f t="shared" si="12"/>
        <v>1</v>
      </c>
      <c r="J45" s="133" t="str">
        <f>LT!G96</f>
        <v>NA</v>
      </c>
      <c r="K45" s="134">
        <f>LT!L96</f>
        <v>7.55</v>
      </c>
      <c r="L45" s="92">
        <f t="shared" si="13"/>
        <v>0</v>
      </c>
      <c r="M45" s="91">
        <f t="shared" si="14"/>
        <v>1</v>
      </c>
      <c r="N45" s="89">
        <f t="shared" si="20"/>
        <v>64746.551347965331</v>
      </c>
      <c r="O45" s="90">
        <f t="shared" si="15"/>
        <v>64746.551347965331</v>
      </c>
      <c r="P45" s="92">
        <f>K45/F45</f>
        <v>8.0951179951441663</v>
      </c>
      <c r="Q45" s="134">
        <f>N45/LT!E96</f>
        <v>488963.20193908084</v>
      </c>
      <c r="R45" s="89">
        <f>Q45</f>
        <v>488963.20193908084</v>
      </c>
      <c r="S45" s="88">
        <f t="shared" si="18"/>
        <v>7.5519574673755434</v>
      </c>
      <c r="T45" s="87">
        <f t="shared" si="19"/>
        <v>1.9574673755435867E-3</v>
      </c>
    </row>
  </sheetData>
  <mergeCells count="4">
    <mergeCell ref="V28:W30"/>
    <mergeCell ref="B24:T24"/>
    <mergeCell ref="B2:T2"/>
    <mergeCell ref="V5:W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6464-BB10-5E4B-98BB-55EFEA55309B}">
  <dimension ref="A1:L115"/>
  <sheetViews>
    <sheetView topLeftCell="A89" workbookViewId="0">
      <selection activeCell="A2" sqref="A2:L115"/>
    </sheetView>
  </sheetViews>
  <sheetFormatPr baseColWidth="10" defaultRowHeight="14.4" x14ac:dyDescent="0.3"/>
  <sheetData>
    <row r="1" spans="1:12" x14ac:dyDescent="0.3">
      <c r="A1" t="s">
        <v>122</v>
      </c>
      <c r="B1" t="s">
        <v>116</v>
      </c>
      <c r="C1" t="s">
        <v>117</v>
      </c>
      <c r="D1" t="s">
        <v>118</v>
      </c>
      <c r="E1" t="s">
        <v>123</v>
      </c>
      <c r="F1" t="s">
        <v>124</v>
      </c>
      <c r="G1" t="s">
        <v>125</v>
      </c>
      <c r="H1" t="s">
        <v>126</v>
      </c>
      <c r="I1" t="s">
        <v>127</v>
      </c>
      <c r="J1" t="s">
        <v>128</v>
      </c>
      <c r="K1" t="s">
        <v>129</v>
      </c>
      <c r="L1" t="s">
        <v>130</v>
      </c>
    </row>
    <row r="2" spans="1:12" x14ac:dyDescent="0.3">
      <c r="A2" t="s">
        <v>131</v>
      </c>
      <c r="B2">
        <v>2010</v>
      </c>
      <c r="C2" t="s">
        <v>132</v>
      </c>
      <c r="D2">
        <v>0</v>
      </c>
      <c r="E2">
        <v>1.5103999999999999E-2</v>
      </c>
      <c r="F2">
        <v>1.4899000000000001E-2</v>
      </c>
      <c r="G2">
        <v>0.09</v>
      </c>
      <c r="H2" s="141">
        <v>100000</v>
      </c>
      <c r="I2">
        <v>1490</v>
      </c>
      <c r="J2">
        <v>98638</v>
      </c>
      <c r="K2">
        <v>7389284</v>
      </c>
      <c r="L2">
        <v>73.89</v>
      </c>
    </row>
    <row r="3" spans="1:12" x14ac:dyDescent="0.3">
      <c r="A3" t="s">
        <v>131</v>
      </c>
      <c r="B3">
        <v>2010</v>
      </c>
      <c r="C3" t="s">
        <v>132</v>
      </c>
      <c r="D3">
        <v>1</v>
      </c>
      <c r="E3">
        <v>6.78E-4</v>
      </c>
      <c r="F3">
        <v>2.7070000000000002E-3</v>
      </c>
      <c r="G3">
        <v>1.61</v>
      </c>
      <c r="H3">
        <v>98510</v>
      </c>
      <c r="I3">
        <v>267</v>
      </c>
      <c r="J3">
        <v>393403</v>
      </c>
      <c r="K3">
        <v>7290646</v>
      </c>
      <c r="L3">
        <v>74.010000000000005</v>
      </c>
    </row>
    <row r="4" spans="1:12" x14ac:dyDescent="0.3">
      <c r="A4" t="s">
        <v>131</v>
      </c>
      <c r="B4">
        <v>2010</v>
      </c>
      <c r="C4" t="s">
        <v>132</v>
      </c>
      <c r="D4">
        <v>5</v>
      </c>
      <c r="E4">
        <v>2.9100000000000003E-4</v>
      </c>
      <c r="F4">
        <v>1.4549999999999999E-3</v>
      </c>
      <c r="G4">
        <v>2.5</v>
      </c>
      <c r="H4">
        <v>98244</v>
      </c>
      <c r="I4">
        <v>143</v>
      </c>
      <c r="J4">
        <v>490860</v>
      </c>
      <c r="K4">
        <v>6897243</v>
      </c>
      <c r="L4">
        <v>70.209999999999994</v>
      </c>
    </row>
    <row r="5" spans="1:12" x14ac:dyDescent="0.3">
      <c r="A5" t="s">
        <v>131</v>
      </c>
      <c r="B5">
        <v>2010</v>
      </c>
      <c r="C5" t="s">
        <v>132</v>
      </c>
      <c r="D5">
        <v>10</v>
      </c>
      <c r="E5">
        <v>3.6900000000000002E-4</v>
      </c>
      <c r="F5">
        <v>1.843E-3</v>
      </c>
      <c r="G5">
        <v>2.5</v>
      </c>
      <c r="H5">
        <v>98101</v>
      </c>
      <c r="I5">
        <v>181</v>
      </c>
      <c r="J5">
        <v>490051</v>
      </c>
      <c r="K5">
        <v>6406383</v>
      </c>
      <c r="L5">
        <v>65.3</v>
      </c>
    </row>
    <row r="6" spans="1:12" x14ac:dyDescent="0.3">
      <c r="A6" t="s">
        <v>131</v>
      </c>
      <c r="B6">
        <v>2010</v>
      </c>
      <c r="C6" t="s">
        <v>132</v>
      </c>
      <c r="D6">
        <v>15</v>
      </c>
      <c r="E6">
        <v>1.1659999999999999E-3</v>
      </c>
      <c r="F6">
        <v>5.8110000000000002E-3</v>
      </c>
      <c r="G6">
        <v>2.5</v>
      </c>
      <c r="H6">
        <v>97920</v>
      </c>
      <c r="I6">
        <v>569</v>
      </c>
      <c r="J6">
        <v>488176</v>
      </c>
      <c r="K6">
        <v>5916332</v>
      </c>
      <c r="L6">
        <v>60.42</v>
      </c>
    </row>
    <row r="7" spans="1:12" x14ac:dyDescent="0.3">
      <c r="A7" t="s">
        <v>131</v>
      </c>
      <c r="B7">
        <v>2010</v>
      </c>
      <c r="C7" t="s">
        <v>132</v>
      </c>
      <c r="D7">
        <v>20</v>
      </c>
      <c r="E7">
        <v>1.5380000000000001E-3</v>
      </c>
      <c r="F7">
        <v>7.6600000000000001E-3</v>
      </c>
      <c r="G7">
        <v>2.5</v>
      </c>
      <c r="H7">
        <v>97351</v>
      </c>
      <c r="I7">
        <v>746</v>
      </c>
      <c r="J7">
        <v>484890</v>
      </c>
      <c r="K7">
        <v>5428156</v>
      </c>
      <c r="L7">
        <v>55.76</v>
      </c>
    </row>
    <row r="8" spans="1:12" x14ac:dyDescent="0.3">
      <c r="A8" t="s">
        <v>131</v>
      </c>
      <c r="B8">
        <v>2010</v>
      </c>
      <c r="C8" t="s">
        <v>132</v>
      </c>
      <c r="D8">
        <v>25</v>
      </c>
      <c r="E8">
        <v>1.5690000000000001E-3</v>
      </c>
      <c r="F8">
        <v>7.8169999999999993E-3</v>
      </c>
      <c r="G8">
        <v>2.5</v>
      </c>
      <c r="H8">
        <v>96605</v>
      </c>
      <c r="I8">
        <v>755</v>
      </c>
      <c r="J8">
        <v>481137</v>
      </c>
      <c r="K8">
        <v>4943267</v>
      </c>
      <c r="L8">
        <v>51.17</v>
      </c>
    </row>
    <row r="9" spans="1:12" x14ac:dyDescent="0.3">
      <c r="A9" t="s">
        <v>131</v>
      </c>
      <c r="B9">
        <v>2010</v>
      </c>
      <c r="C9" t="s">
        <v>132</v>
      </c>
      <c r="D9">
        <v>30</v>
      </c>
      <c r="E9">
        <v>2.0760000000000002E-3</v>
      </c>
      <c r="F9">
        <v>1.0325000000000001E-2</v>
      </c>
      <c r="G9">
        <v>2.5</v>
      </c>
      <c r="H9">
        <v>95850</v>
      </c>
      <c r="I9">
        <v>990</v>
      </c>
      <c r="J9">
        <v>476775</v>
      </c>
      <c r="K9">
        <v>4462129</v>
      </c>
      <c r="L9">
        <v>46.55</v>
      </c>
    </row>
    <row r="10" spans="1:12" x14ac:dyDescent="0.3">
      <c r="A10" t="s">
        <v>131</v>
      </c>
      <c r="B10">
        <v>2010</v>
      </c>
      <c r="C10" t="s">
        <v>132</v>
      </c>
      <c r="D10">
        <v>35</v>
      </c>
      <c r="E10">
        <v>2.6689999999999999E-3</v>
      </c>
      <c r="F10">
        <v>1.3256E-2</v>
      </c>
      <c r="G10">
        <v>2.5</v>
      </c>
      <c r="H10">
        <v>94860</v>
      </c>
      <c r="I10">
        <v>1257</v>
      </c>
      <c r="J10">
        <v>471157</v>
      </c>
      <c r="K10">
        <v>3985354</v>
      </c>
      <c r="L10">
        <v>42.01</v>
      </c>
    </row>
    <row r="11" spans="1:12" x14ac:dyDescent="0.3">
      <c r="A11" t="s">
        <v>131</v>
      </c>
      <c r="B11">
        <v>2010</v>
      </c>
      <c r="C11" t="s">
        <v>132</v>
      </c>
      <c r="D11">
        <v>40</v>
      </c>
      <c r="E11">
        <v>3.5019999999999999E-3</v>
      </c>
      <c r="F11">
        <v>1.7358999999999999E-2</v>
      </c>
      <c r="G11">
        <v>2.5</v>
      </c>
      <c r="H11">
        <v>93603</v>
      </c>
      <c r="I11">
        <v>1625</v>
      </c>
      <c r="J11">
        <v>463952</v>
      </c>
      <c r="K11">
        <v>3514196</v>
      </c>
      <c r="L11">
        <v>37.54</v>
      </c>
    </row>
    <row r="12" spans="1:12" x14ac:dyDescent="0.3">
      <c r="A12" t="s">
        <v>131</v>
      </c>
      <c r="B12">
        <v>2010</v>
      </c>
      <c r="C12" t="s">
        <v>132</v>
      </c>
      <c r="D12">
        <v>45</v>
      </c>
      <c r="E12">
        <v>5.1190000000000003E-3</v>
      </c>
      <c r="F12">
        <v>2.5269E-2</v>
      </c>
      <c r="G12">
        <v>2.5</v>
      </c>
      <c r="H12">
        <v>91978</v>
      </c>
      <c r="I12">
        <v>2324</v>
      </c>
      <c r="J12">
        <v>454079</v>
      </c>
      <c r="K12">
        <v>3050245</v>
      </c>
      <c r="L12">
        <v>33.159999999999997</v>
      </c>
    </row>
    <row r="13" spans="1:12" x14ac:dyDescent="0.3">
      <c r="A13" t="s">
        <v>131</v>
      </c>
      <c r="B13">
        <v>2010</v>
      </c>
      <c r="C13" t="s">
        <v>132</v>
      </c>
      <c r="D13">
        <v>50</v>
      </c>
      <c r="E13">
        <v>7.4209999999999996E-3</v>
      </c>
      <c r="F13">
        <v>3.6430999999999998E-2</v>
      </c>
      <c r="G13">
        <v>2.5</v>
      </c>
      <c r="H13">
        <v>89654</v>
      </c>
      <c r="I13">
        <v>3266</v>
      </c>
      <c r="J13">
        <v>440103</v>
      </c>
      <c r="K13">
        <v>2596166</v>
      </c>
      <c r="L13">
        <v>28.96</v>
      </c>
    </row>
    <row r="14" spans="1:12" x14ac:dyDescent="0.3">
      <c r="A14" t="s">
        <v>131</v>
      </c>
      <c r="B14">
        <v>2010</v>
      </c>
      <c r="C14" t="s">
        <v>132</v>
      </c>
      <c r="D14">
        <v>55</v>
      </c>
      <c r="E14">
        <v>1.0952999999999999E-2</v>
      </c>
      <c r="F14">
        <v>5.3303999999999997E-2</v>
      </c>
      <c r="G14">
        <v>2.5</v>
      </c>
      <c r="H14">
        <v>86387</v>
      </c>
      <c r="I14">
        <v>4605</v>
      </c>
      <c r="J14">
        <v>420425</v>
      </c>
      <c r="K14">
        <v>2156063</v>
      </c>
      <c r="L14">
        <v>24.96</v>
      </c>
    </row>
    <row r="15" spans="1:12" x14ac:dyDescent="0.3">
      <c r="A15" t="s">
        <v>131</v>
      </c>
      <c r="B15">
        <v>2010</v>
      </c>
      <c r="C15" t="s">
        <v>132</v>
      </c>
      <c r="D15">
        <v>60</v>
      </c>
      <c r="E15">
        <v>1.5263000000000001E-2</v>
      </c>
      <c r="F15">
        <v>7.3511999999999994E-2</v>
      </c>
      <c r="G15">
        <v>2.5</v>
      </c>
      <c r="H15">
        <v>81783</v>
      </c>
      <c r="I15">
        <v>6012</v>
      </c>
      <c r="J15">
        <v>393883</v>
      </c>
      <c r="K15">
        <v>1735638</v>
      </c>
      <c r="L15">
        <v>21.22</v>
      </c>
    </row>
    <row r="16" spans="1:12" x14ac:dyDescent="0.3">
      <c r="A16" t="s">
        <v>131</v>
      </c>
      <c r="B16">
        <v>2010</v>
      </c>
      <c r="C16" t="s">
        <v>132</v>
      </c>
      <c r="D16">
        <v>65</v>
      </c>
      <c r="E16">
        <v>2.3154000000000001E-2</v>
      </c>
      <c r="F16">
        <v>0.10943600000000001</v>
      </c>
      <c r="G16">
        <v>2.5</v>
      </c>
      <c r="H16">
        <v>75771</v>
      </c>
      <c r="I16">
        <v>8292</v>
      </c>
      <c r="J16">
        <v>358123</v>
      </c>
      <c r="K16">
        <v>1341754</v>
      </c>
      <c r="L16">
        <v>17.71</v>
      </c>
    </row>
    <row r="17" spans="1:12" x14ac:dyDescent="0.3">
      <c r="A17" t="s">
        <v>131</v>
      </c>
      <c r="B17">
        <v>2010</v>
      </c>
      <c r="C17" t="s">
        <v>132</v>
      </c>
      <c r="D17">
        <v>70</v>
      </c>
      <c r="E17">
        <v>2.9779E-2</v>
      </c>
      <c r="F17">
        <v>0.13857900000000001</v>
      </c>
      <c r="G17">
        <v>2.5</v>
      </c>
      <c r="H17">
        <v>67479</v>
      </c>
      <c r="I17">
        <v>9351</v>
      </c>
      <c r="J17">
        <v>314015</v>
      </c>
      <c r="K17">
        <v>983631</v>
      </c>
      <c r="L17">
        <v>14.58</v>
      </c>
    </row>
    <row r="18" spans="1:12" x14ac:dyDescent="0.3">
      <c r="A18" t="s">
        <v>131</v>
      </c>
      <c r="B18">
        <v>2010</v>
      </c>
      <c r="C18" t="s">
        <v>132</v>
      </c>
      <c r="D18">
        <v>75</v>
      </c>
      <c r="E18">
        <v>4.6725000000000003E-2</v>
      </c>
      <c r="F18">
        <v>0.20919099999999999</v>
      </c>
      <c r="G18">
        <v>2.5</v>
      </c>
      <c r="H18">
        <v>58127</v>
      </c>
      <c r="I18">
        <v>12160</v>
      </c>
      <c r="J18">
        <v>260238</v>
      </c>
      <c r="K18">
        <v>669616</v>
      </c>
      <c r="L18">
        <v>11.52</v>
      </c>
    </row>
    <row r="19" spans="1:12" x14ac:dyDescent="0.3">
      <c r="A19" t="s">
        <v>131</v>
      </c>
      <c r="B19">
        <v>2010</v>
      </c>
      <c r="C19" t="s">
        <v>132</v>
      </c>
      <c r="D19">
        <v>80</v>
      </c>
      <c r="E19">
        <v>7.7773999999999996E-2</v>
      </c>
      <c r="F19">
        <v>0.32557000000000003</v>
      </c>
      <c r="G19">
        <v>2.5</v>
      </c>
      <c r="H19">
        <v>45968</v>
      </c>
      <c r="I19">
        <v>14966</v>
      </c>
      <c r="J19">
        <v>192424</v>
      </c>
      <c r="K19">
        <v>409378</v>
      </c>
      <c r="L19">
        <v>8.91</v>
      </c>
    </row>
    <row r="20" spans="1:12" x14ac:dyDescent="0.3">
      <c r="A20" t="s">
        <v>131</v>
      </c>
      <c r="B20">
        <v>2010</v>
      </c>
      <c r="C20" t="s">
        <v>132</v>
      </c>
      <c r="D20">
        <v>85</v>
      </c>
      <c r="E20">
        <v>0.142897</v>
      </c>
      <c r="F20">
        <v>1</v>
      </c>
      <c r="G20" t="s">
        <v>133</v>
      </c>
      <c r="H20">
        <v>31002</v>
      </c>
      <c r="I20">
        <v>31002</v>
      </c>
      <c r="J20">
        <v>216953</v>
      </c>
      <c r="K20">
        <v>216953</v>
      </c>
      <c r="L20">
        <v>7</v>
      </c>
    </row>
    <row r="21" spans="1:12" x14ac:dyDescent="0.3">
      <c r="A21" s="139" t="s">
        <v>131</v>
      </c>
      <c r="B21" s="139">
        <v>2019</v>
      </c>
      <c r="C21" s="139" t="s">
        <v>132</v>
      </c>
      <c r="D21" s="139">
        <v>0</v>
      </c>
      <c r="E21" s="139">
        <v>1.2622E-2</v>
      </c>
      <c r="F21" s="139">
        <v>1.2477E-2</v>
      </c>
      <c r="G21" s="139">
        <v>0.08</v>
      </c>
      <c r="H21" s="142">
        <v>100000</v>
      </c>
      <c r="I21" s="139">
        <v>1248</v>
      </c>
      <c r="J21" s="139">
        <v>98851</v>
      </c>
      <c r="K21" s="139">
        <v>7518630</v>
      </c>
      <c r="L21" s="139">
        <v>75.19</v>
      </c>
    </row>
    <row r="22" spans="1:12" x14ac:dyDescent="0.3">
      <c r="A22" s="139" t="s">
        <v>131</v>
      </c>
      <c r="B22" s="139">
        <v>2019</v>
      </c>
      <c r="C22" s="139" t="s">
        <v>132</v>
      </c>
      <c r="D22" s="139">
        <v>1</v>
      </c>
      <c r="E22" s="139">
        <v>6.0099999999999997E-4</v>
      </c>
      <c r="F22" s="139">
        <v>2.3999999999999998E-3</v>
      </c>
      <c r="G22" s="139">
        <v>1.62</v>
      </c>
      <c r="H22" s="139">
        <v>98752</v>
      </c>
      <c r="I22" s="139">
        <v>237</v>
      </c>
      <c r="J22" s="139">
        <v>394444</v>
      </c>
      <c r="K22" s="139">
        <v>7419780</v>
      </c>
      <c r="L22" s="139">
        <v>75.14</v>
      </c>
    </row>
    <row r="23" spans="1:12" x14ac:dyDescent="0.3">
      <c r="A23" s="139" t="s">
        <v>131</v>
      </c>
      <c r="B23" s="139">
        <v>2019</v>
      </c>
      <c r="C23" s="139" t="s">
        <v>132</v>
      </c>
      <c r="D23" s="139">
        <v>5</v>
      </c>
      <c r="E23" s="139">
        <v>2.2100000000000001E-4</v>
      </c>
      <c r="F23" s="139">
        <v>1.1019999999999999E-3</v>
      </c>
      <c r="G23" s="139">
        <v>2.5</v>
      </c>
      <c r="H23" s="139">
        <v>98515</v>
      </c>
      <c r="I23" s="139">
        <v>109</v>
      </c>
      <c r="J23" s="139">
        <v>492305</v>
      </c>
      <c r="K23" s="139">
        <v>7025336</v>
      </c>
      <c r="L23" s="139">
        <v>71.31</v>
      </c>
    </row>
    <row r="24" spans="1:12" x14ac:dyDescent="0.3">
      <c r="A24" s="139" t="s">
        <v>131</v>
      </c>
      <c r="B24" s="139">
        <v>2019</v>
      </c>
      <c r="C24" s="139" t="s">
        <v>132</v>
      </c>
      <c r="D24" s="139">
        <v>10</v>
      </c>
      <c r="E24" s="139">
        <v>3.0800000000000001E-4</v>
      </c>
      <c r="F24" s="139">
        <v>1.5410000000000001E-3</v>
      </c>
      <c r="G24" s="139">
        <v>2.5</v>
      </c>
      <c r="H24" s="139">
        <v>98407</v>
      </c>
      <c r="I24" s="139">
        <v>152</v>
      </c>
      <c r="J24" s="139">
        <v>491654</v>
      </c>
      <c r="K24" s="139">
        <v>6533031</v>
      </c>
      <c r="L24" s="139">
        <v>66.39</v>
      </c>
    </row>
    <row r="25" spans="1:12" x14ac:dyDescent="0.3">
      <c r="A25" s="139" t="s">
        <v>131</v>
      </c>
      <c r="B25" s="139">
        <v>2019</v>
      </c>
      <c r="C25" s="139" t="s">
        <v>132</v>
      </c>
      <c r="D25" s="139">
        <v>15</v>
      </c>
      <c r="E25" s="139">
        <v>8.8400000000000002E-4</v>
      </c>
      <c r="F25" s="139">
        <v>4.4079999999999996E-3</v>
      </c>
      <c r="G25" s="139">
        <v>2.5</v>
      </c>
      <c r="H25" s="139">
        <v>98255</v>
      </c>
      <c r="I25" s="139">
        <v>433</v>
      </c>
      <c r="J25" s="139">
        <v>490192</v>
      </c>
      <c r="K25" s="139">
        <v>6041377</v>
      </c>
      <c r="L25" s="139">
        <v>61.49</v>
      </c>
    </row>
    <row r="26" spans="1:12" x14ac:dyDescent="0.3">
      <c r="A26" s="139" t="s">
        <v>131</v>
      </c>
      <c r="B26" s="139">
        <v>2019</v>
      </c>
      <c r="C26" s="139" t="s">
        <v>132</v>
      </c>
      <c r="D26" s="139">
        <v>20</v>
      </c>
      <c r="E26" s="139">
        <v>1.6459999999999999E-3</v>
      </c>
      <c r="F26" s="139">
        <v>8.1939999999999999E-3</v>
      </c>
      <c r="G26" s="139">
        <v>2.5</v>
      </c>
      <c r="H26" s="139">
        <v>97822</v>
      </c>
      <c r="I26" s="139">
        <v>802</v>
      </c>
      <c r="J26" s="139">
        <v>487106</v>
      </c>
      <c r="K26" s="139">
        <v>5551184</v>
      </c>
      <c r="L26" s="139">
        <v>56.75</v>
      </c>
    </row>
    <row r="27" spans="1:12" x14ac:dyDescent="0.3">
      <c r="A27" s="139" t="s">
        <v>131</v>
      </c>
      <c r="B27" s="139">
        <v>2019</v>
      </c>
      <c r="C27" s="139" t="s">
        <v>132</v>
      </c>
      <c r="D27" s="139">
        <v>25</v>
      </c>
      <c r="E27" s="139">
        <v>1.787E-3</v>
      </c>
      <c r="F27" s="139">
        <v>8.8950000000000001E-3</v>
      </c>
      <c r="G27" s="139">
        <v>2.5</v>
      </c>
      <c r="H27" s="139">
        <v>97020</v>
      </c>
      <c r="I27" s="139">
        <v>863</v>
      </c>
      <c r="J27" s="139">
        <v>482944</v>
      </c>
      <c r="K27" s="139">
        <v>5064079</v>
      </c>
      <c r="L27" s="139">
        <v>52.2</v>
      </c>
    </row>
    <row r="28" spans="1:12" x14ac:dyDescent="0.3">
      <c r="A28" s="139" t="s">
        <v>131</v>
      </c>
      <c r="B28" s="139">
        <v>2019</v>
      </c>
      <c r="C28" s="139" t="s">
        <v>132</v>
      </c>
      <c r="D28" s="139">
        <v>30</v>
      </c>
      <c r="E28" s="139">
        <v>2.2200000000000002E-3</v>
      </c>
      <c r="F28" s="139">
        <v>1.1037999999999999E-2</v>
      </c>
      <c r="G28" s="139">
        <v>2.5</v>
      </c>
      <c r="H28" s="139">
        <v>96157</v>
      </c>
      <c r="I28" s="139">
        <v>1061</v>
      </c>
      <c r="J28" s="139">
        <v>478133</v>
      </c>
      <c r="K28" s="139">
        <v>4581135</v>
      </c>
      <c r="L28" s="139">
        <v>47.64</v>
      </c>
    </row>
    <row r="29" spans="1:12" x14ac:dyDescent="0.3">
      <c r="A29" s="139" t="s">
        <v>131</v>
      </c>
      <c r="B29" s="139">
        <v>2019</v>
      </c>
      <c r="C29" s="139" t="s">
        <v>132</v>
      </c>
      <c r="D29" s="139">
        <v>35</v>
      </c>
      <c r="E29" s="139">
        <v>2.588E-3</v>
      </c>
      <c r="F29" s="139">
        <v>1.2855999999999999E-2</v>
      </c>
      <c r="G29" s="139">
        <v>2.5</v>
      </c>
      <c r="H29" s="139">
        <v>95096</v>
      </c>
      <c r="I29" s="139">
        <v>1223</v>
      </c>
      <c r="J29" s="139">
        <v>472423</v>
      </c>
      <c r="K29" s="139">
        <v>4103001</v>
      </c>
      <c r="L29" s="139">
        <v>43.15</v>
      </c>
    </row>
    <row r="30" spans="1:12" x14ac:dyDescent="0.3">
      <c r="A30" s="139" t="s">
        <v>131</v>
      </c>
      <c r="B30" s="139">
        <v>2019</v>
      </c>
      <c r="C30" s="139" t="s">
        <v>132</v>
      </c>
      <c r="D30" s="139">
        <v>40</v>
      </c>
      <c r="E30" s="139">
        <v>3.5630000000000002E-3</v>
      </c>
      <c r="F30" s="139">
        <v>1.7656999999999999E-2</v>
      </c>
      <c r="G30" s="139">
        <v>2.5</v>
      </c>
      <c r="H30" s="139">
        <v>93873</v>
      </c>
      <c r="I30" s="139">
        <v>1657</v>
      </c>
      <c r="J30" s="139">
        <v>465223</v>
      </c>
      <c r="K30" s="139">
        <v>3630578</v>
      </c>
      <c r="L30" s="139">
        <v>38.68</v>
      </c>
    </row>
    <row r="31" spans="1:12" x14ac:dyDescent="0.3">
      <c r="A31" s="139" t="s">
        <v>131</v>
      </c>
      <c r="B31" s="139">
        <v>2019</v>
      </c>
      <c r="C31" s="139" t="s">
        <v>132</v>
      </c>
      <c r="D31" s="139">
        <v>45</v>
      </c>
      <c r="E31" s="139">
        <v>4.9439999999999996E-3</v>
      </c>
      <c r="F31" s="139">
        <v>2.4417999999999999E-2</v>
      </c>
      <c r="G31" s="139">
        <v>2.5</v>
      </c>
      <c r="H31" s="139">
        <v>92216</v>
      </c>
      <c r="I31" s="139">
        <v>2252</v>
      </c>
      <c r="J31" s="139">
        <v>455450</v>
      </c>
      <c r="K31" s="139">
        <v>3165355</v>
      </c>
      <c r="L31" s="139">
        <v>34.33</v>
      </c>
    </row>
    <row r="32" spans="1:12" x14ac:dyDescent="0.3">
      <c r="A32" s="139" t="s">
        <v>131</v>
      </c>
      <c r="B32" s="139">
        <v>2019</v>
      </c>
      <c r="C32" s="139" t="s">
        <v>132</v>
      </c>
      <c r="D32" s="139">
        <v>50</v>
      </c>
      <c r="E32" s="139">
        <v>6.613E-3</v>
      </c>
      <c r="F32" s="139">
        <v>3.2525999999999999E-2</v>
      </c>
      <c r="G32" s="139">
        <v>2.5</v>
      </c>
      <c r="H32" s="139">
        <v>89964</v>
      </c>
      <c r="I32" s="139">
        <v>2926</v>
      </c>
      <c r="J32" s="139">
        <v>442505</v>
      </c>
      <c r="K32" s="139">
        <v>2709905</v>
      </c>
      <c r="L32" s="139">
        <v>30.12</v>
      </c>
    </row>
    <row r="33" spans="1:12" x14ac:dyDescent="0.3">
      <c r="A33" s="139" t="s">
        <v>131</v>
      </c>
      <c r="B33" s="139">
        <v>2019</v>
      </c>
      <c r="C33" s="139" t="s">
        <v>132</v>
      </c>
      <c r="D33" s="139">
        <v>55</v>
      </c>
      <c r="E33" s="139">
        <v>9.7890000000000008E-3</v>
      </c>
      <c r="F33" s="139">
        <v>4.7773999999999997E-2</v>
      </c>
      <c r="G33" s="139">
        <v>2.5</v>
      </c>
      <c r="H33" s="139">
        <v>87038</v>
      </c>
      <c r="I33" s="139">
        <v>4158</v>
      </c>
      <c r="J33" s="139">
        <v>424795</v>
      </c>
      <c r="K33" s="139">
        <v>2267399</v>
      </c>
      <c r="L33" s="139">
        <v>26.05</v>
      </c>
    </row>
    <row r="34" spans="1:12" x14ac:dyDescent="0.3">
      <c r="A34" s="139" t="s">
        <v>131</v>
      </c>
      <c r="B34" s="139">
        <v>2019</v>
      </c>
      <c r="C34" s="139" t="s">
        <v>132</v>
      </c>
      <c r="D34" s="139">
        <v>60</v>
      </c>
      <c r="E34" s="139">
        <v>1.3679E-2</v>
      </c>
      <c r="F34" s="139">
        <v>6.6134999999999999E-2</v>
      </c>
      <c r="G34" s="139">
        <v>2.5</v>
      </c>
      <c r="H34" s="139">
        <v>82880</v>
      </c>
      <c r="I34" s="139">
        <v>5481</v>
      </c>
      <c r="J34" s="139">
        <v>400696</v>
      </c>
      <c r="K34" s="139">
        <v>1842605</v>
      </c>
      <c r="L34" s="139">
        <v>22.23</v>
      </c>
    </row>
    <row r="35" spans="1:12" x14ac:dyDescent="0.3">
      <c r="A35" s="139" t="s">
        <v>131</v>
      </c>
      <c r="B35" s="139">
        <v>2019</v>
      </c>
      <c r="C35" s="139" t="s">
        <v>132</v>
      </c>
      <c r="D35" s="139">
        <v>65</v>
      </c>
      <c r="E35" s="139">
        <v>1.8846000000000002E-2</v>
      </c>
      <c r="F35" s="139">
        <v>8.9990000000000001E-2</v>
      </c>
      <c r="G35" s="139">
        <v>2.5</v>
      </c>
      <c r="H35" s="139">
        <v>77399</v>
      </c>
      <c r="I35" s="139">
        <v>6965</v>
      </c>
      <c r="J35" s="139">
        <v>369580</v>
      </c>
      <c r="K35" s="139">
        <v>1441909</v>
      </c>
      <c r="L35" s="139">
        <v>18.63</v>
      </c>
    </row>
    <row r="36" spans="1:12" x14ac:dyDescent="0.3">
      <c r="A36" s="139" t="s">
        <v>131</v>
      </c>
      <c r="B36" s="139">
        <v>2019</v>
      </c>
      <c r="C36" s="139" t="s">
        <v>132</v>
      </c>
      <c r="D36" s="139">
        <v>70</v>
      </c>
      <c r="E36" s="139">
        <v>2.8076E-2</v>
      </c>
      <c r="F36" s="139">
        <v>0.13117300000000001</v>
      </c>
      <c r="G36" s="139">
        <v>2.5</v>
      </c>
      <c r="H36" s="139">
        <v>70433</v>
      </c>
      <c r="I36" s="139">
        <v>9239</v>
      </c>
      <c r="J36" s="139">
        <v>329070</v>
      </c>
      <c r="K36" s="139">
        <v>1072329</v>
      </c>
      <c r="L36" s="139">
        <v>15.22</v>
      </c>
    </row>
    <row r="37" spans="1:12" x14ac:dyDescent="0.3">
      <c r="A37" s="139" t="s">
        <v>131</v>
      </c>
      <c r="B37" s="139">
        <v>2019</v>
      </c>
      <c r="C37" s="139" t="s">
        <v>132</v>
      </c>
      <c r="D37" s="139">
        <v>75</v>
      </c>
      <c r="E37" s="139">
        <v>4.2104000000000003E-2</v>
      </c>
      <c r="F37" s="139">
        <v>0.19047</v>
      </c>
      <c r="G37" s="139">
        <v>2.5</v>
      </c>
      <c r="H37" s="139">
        <v>61194</v>
      </c>
      <c r="I37" s="139">
        <v>11656</v>
      </c>
      <c r="J37" s="139">
        <v>276833</v>
      </c>
      <c r="K37" s="139">
        <v>743259</v>
      </c>
      <c r="L37" s="139">
        <v>12.15</v>
      </c>
    </row>
    <row r="38" spans="1:12" x14ac:dyDescent="0.3">
      <c r="A38" s="139" t="s">
        <v>131</v>
      </c>
      <c r="B38" s="139">
        <v>2019</v>
      </c>
      <c r="C38" s="139" t="s">
        <v>132</v>
      </c>
      <c r="D38" s="139">
        <v>80</v>
      </c>
      <c r="E38" s="139">
        <v>7.0427000000000003E-2</v>
      </c>
      <c r="F38" s="139">
        <v>0.29941800000000002</v>
      </c>
      <c r="G38" s="139">
        <v>2.5</v>
      </c>
      <c r="H38" s="139">
        <v>49539</v>
      </c>
      <c r="I38" s="139">
        <v>14833</v>
      </c>
      <c r="J38" s="139">
        <v>210612</v>
      </c>
      <c r="K38" s="139">
        <v>466426</v>
      </c>
      <c r="L38" s="139">
        <v>9.42</v>
      </c>
    </row>
    <row r="39" spans="1:12" x14ac:dyDescent="0.3">
      <c r="A39" s="139" t="s">
        <v>131</v>
      </c>
      <c r="B39" s="139">
        <v>2019</v>
      </c>
      <c r="C39" s="139" t="s">
        <v>132</v>
      </c>
      <c r="D39" s="139">
        <v>85</v>
      </c>
      <c r="E39" s="139">
        <v>0.13566800000000001</v>
      </c>
      <c r="F39" s="139">
        <v>1</v>
      </c>
      <c r="G39" s="139" t="s">
        <v>133</v>
      </c>
      <c r="H39" s="139">
        <v>34706</v>
      </c>
      <c r="I39" s="139">
        <v>34706</v>
      </c>
      <c r="J39" s="139">
        <v>255815</v>
      </c>
      <c r="K39" s="139">
        <v>255815</v>
      </c>
      <c r="L39" s="139">
        <v>7.37</v>
      </c>
    </row>
    <row r="40" spans="1:12" x14ac:dyDescent="0.3">
      <c r="A40" t="s">
        <v>131</v>
      </c>
      <c r="B40">
        <v>2021</v>
      </c>
      <c r="C40" t="s">
        <v>132</v>
      </c>
      <c r="D40">
        <v>0</v>
      </c>
      <c r="E40">
        <v>1.1526E-2</v>
      </c>
      <c r="F40">
        <v>1.1405E-2</v>
      </c>
      <c r="G40">
        <v>0.08</v>
      </c>
      <c r="H40" s="141">
        <v>100000</v>
      </c>
      <c r="I40">
        <v>1140</v>
      </c>
      <c r="J40">
        <v>98946</v>
      </c>
      <c r="K40">
        <v>6873388</v>
      </c>
      <c r="L40">
        <v>68.73</v>
      </c>
    </row>
    <row r="41" spans="1:12" x14ac:dyDescent="0.3">
      <c r="A41" t="s">
        <v>131</v>
      </c>
      <c r="B41">
        <v>2021</v>
      </c>
      <c r="C41" t="s">
        <v>132</v>
      </c>
      <c r="D41">
        <v>1</v>
      </c>
      <c r="E41">
        <v>4.4799999999999999E-4</v>
      </c>
      <c r="F41">
        <v>1.789E-3</v>
      </c>
      <c r="G41">
        <v>1.62</v>
      </c>
      <c r="H41">
        <v>98860</v>
      </c>
      <c r="I41">
        <v>177</v>
      </c>
      <c r="J41">
        <v>395017</v>
      </c>
      <c r="K41">
        <v>6774442</v>
      </c>
      <c r="L41">
        <v>68.53</v>
      </c>
    </row>
    <row r="42" spans="1:12" x14ac:dyDescent="0.3">
      <c r="A42" t="s">
        <v>131</v>
      </c>
      <c r="B42">
        <v>2021</v>
      </c>
      <c r="C42" t="s">
        <v>132</v>
      </c>
      <c r="D42">
        <v>5</v>
      </c>
      <c r="E42">
        <v>2.5700000000000001E-4</v>
      </c>
      <c r="F42">
        <v>1.286E-3</v>
      </c>
      <c r="G42">
        <v>2.5</v>
      </c>
      <c r="H42">
        <v>98683</v>
      </c>
      <c r="I42">
        <v>127</v>
      </c>
      <c r="J42">
        <v>493096</v>
      </c>
      <c r="K42">
        <v>6379425</v>
      </c>
      <c r="L42">
        <v>64.650000000000006</v>
      </c>
    </row>
    <row r="43" spans="1:12" x14ac:dyDescent="0.3">
      <c r="A43" t="s">
        <v>131</v>
      </c>
      <c r="B43">
        <v>2021</v>
      </c>
      <c r="C43" t="s">
        <v>132</v>
      </c>
      <c r="D43">
        <v>10</v>
      </c>
      <c r="E43">
        <v>3.2299999999999999E-4</v>
      </c>
      <c r="F43">
        <v>1.6130000000000001E-3</v>
      </c>
      <c r="G43">
        <v>2.5</v>
      </c>
      <c r="H43">
        <v>98556</v>
      </c>
      <c r="I43">
        <v>159</v>
      </c>
      <c r="J43">
        <v>492381</v>
      </c>
      <c r="K43">
        <v>5886329</v>
      </c>
      <c r="L43">
        <v>59.73</v>
      </c>
    </row>
    <row r="44" spans="1:12" x14ac:dyDescent="0.3">
      <c r="A44" t="s">
        <v>131</v>
      </c>
      <c r="B44">
        <v>2021</v>
      </c>
      <c r="C44" t="s">
        <v>132</v>
      </c>
      <c r="D44">
        <v>15</v>
      </c>
      <c r="E44">
        <v>8.7200000000000005E-4</v>
      </c>
      <c r="F44">
        <v>4.3480000000000003E-3</v>
      </c>
      <c r="G44">
        <v>2.5</v>
      </c>
      <c r="H44">
        <v>98397</v>
      </c>
      <c r="I44">
        <v>428</v>
      </c>
      <c r="J44">
        <v>490914</v>
      </c>
      <c r="K44">
        <v>5393947</v>
      </c>
      <c r="L44">
        <v>54.82</v>
      </c>
    </row>
    <row r="45" spans="1:12" x14ac:dyDescent="0.3">
      <c r="A45" t="s">
        <v>131</v>
      </c>
      <c r="B45">
        <v>2021</v>
      </c>
      <c r="C45" t="s">
        <v>132</v>
      </c>
      <c r="D45">
        <v>20</v>
      </c>
      <c r="E45">
        <v>1.8400000000000001E-3</v>
      </c>
      <c r="F45">
        <v>9.1570000000000002E-3</v>
      </c>
      <c r="G45">
        <v>2.5</v>
      </c>
      <c r="H45">
        <v>97969</v>
      </c>
      <c r="I45">
        <v>897</v>
      </c>
      <c r="J45">
        <v>487602</v>
      </c>
      <c r="K45">
        <v>4903033</v>
      </c>
      <c r="L45">
        <v>50.05</v>
      </c>
    </row>
    <row r="46" spans="1:12" x14ac:dyDescent="0.3">
      <c r="A46" t="s">
        <v>131</v>
      </c>
      <c r="B46">
        <v>2021</v>
      </c>
      <c r="C46" t="s">
        <v>132</v>
      </c>
      <c r="D46">
        <v>25</v>
      </c>
      <c r="E46">
        <v>2.3649999999999999E-3</v>
      </c>
      <c r="F46">
        <v>1.1757999999999999E-2</v>
      </c>
      <c r="G46">
        <v>2.5</v>
      </c>
      <c r="H46">
        <v>97072</v>
      </c>
      <c r="I46">
        <v>1141</v>
      </c>
      <c r="J46">
        <v>482505</v>
      </c>
      <c r="K46">
        <v>4415431</v>
      </c>
      <c r="L46">
        <v>45.49</v>
      </c>
    </row>
    <row r="47" spans="1:12" x14ac:dyDescent="0.3">
      <c r="A47" t="s">
        <v>131</v>
      </c>
      <c r="B47">
        <v>2021</v>
      </c>
      <c r="C47" t="s">
        <v>132</v>
      </c>
      <c r="D47">
        <v>30</v>
      </c>
      <c r="E47">
        <v>3.2750000000000001E-3</v>
      </c>
      <c r="F47">
        <v>1.6240000000000001E-2</v>
      </c>
      <c r="G47">
        <v>2.5</v>
      </c>
      <c r="H47">
        <v>95930</v>
      </c>
      <c r="I47">
        <v>1558</v>
      </c>
      <c r="J47">
        <v>475757</v>
      </c>
      <c r="K47">
        <v>3932926</v>
      </c>
      <c r="L47">
        <v>41</v>
      </c>
    </row>
    <row r="48" spans="1:12" x14ac:dyDescent="0.3">
      <c r="A48" t="s">
        <v>131</v>
      </c>
      <c r="B48">
        <v>2021</v>
      </c>
      <c r="C48" t="s">
        <v>132</v>
      </c>
      <c r="D48">
        <v>35</v>
      </c>
      <c r="E48">
        <v>4.4429999999999999E-3</v>
      </c>
      <c r="F48">
        <v>2.1971999999999998E-2</v>
      </c>
      <c r="G48">
        <v>2.5</v>
      </c>
      <c r="H48">
        <v>94373</v>
      </c>
      <c r="I48">
        <v>2074</v>
      </c>
      <c r="J48">
        <v>466679</v>
      </c>
      <c r="K48">
        <v>3457169</v>
      </c>
      <c r="L48">
        <v>36.630000000000003</v>
      </c>
    </row>
    <row r="49" spans="1:12" x14ac:dyDescent="0.3">
      <c r="A49" t="s">
        <v>131</v>
      </c>
      <c r="B49">
        <v>2021</v>
      </c>
      <c r="C49" t="s">
        <v>132</v>
      </c>
      <c r="D49">
        <v>40</v>
      </c>
      <c r="E49">
        <v>5.9280000000000001E-3</v>
      </c>
      <c r="F49">
        <v>2.9204999999999998E-2</v>
      </c>
      <c r="G49">
        <v>2.5</v>
      </c>
      <c r="H49">
        <v>92299</v>
      </c>
      <c r="I49">
        <v>2696</v>
      </c>
      <c r="J49">
        <v>454756</v>
      </c>
      <c r="K49">
        <v>2990490</v>
      </c>
      <c r="L49">
        <v>32.4</v>
      </c>
    </row>
    <row r="50" spans="1:12" x14ac:dyDescent="0.3">
      <c r="A50" t="s">
        <v>131</v>
      </c>
      <c r="B50">
        <v>2021</v>
      </c>
      <c r="C50" t="s">
        <v>132</v>
      </c>
      <c r="D50">
        <v>45</v>
      </c>
      <c r="E50">
        <v>9.2420000000000002E-3</v>
      </c>
      <c r="F50">
        <v>4.5168E-2</v>
      </c>
      <c r="G50">
        <v>2.5</v>
      </c>
      <c r="H50">
        <v>89603</v>
      </c>
      <c r="I50">
        <v>4047</v>
      </c>
      <c r="J50">
        <v>437899</v>
      </c>
      <c r="K50">
        <v>2535734</v>
      </c>
      <c r="L50">
        <v>28.3</v>
      </c>
    </row>
    <row r="51" spans="1:12" x14ac:dyDescent="0.3">
      <c r="A51" t="s">
        <v>131</v>
      </c>
      <c r="B51">
        <v>2021</v>
      </c>
      <c r="C51" t="s">
        <v>132</v>
      </c>
      <c r="D51">
        <v>50</v>
      </c>
      <c r="E51">
        <v>1.1701E-2</v>
      </c>
      <c r="F51">
        <v>5.6841000000000003E-2</v>
      </c>
      <c r="G51">
        <v>2.5</v>
      </c>
      <c r="H51">
        <v>85556</v>
      </c>
      <c r="I51">
        <v>4863</v>
      </c>
      <c r="J51">
        <v>415623</v>
      </c>
      <c r="K51">
        <v>2097835</v>
      </c>
      <c r="L51">
        <v>24.52</v>
      </c>
    </row>
    <row r="52" spans="1:12" x14ac:dyDescent="0.3">
      <c r="A52" t="s">
        <v>131</v>
      </c>
      <c r="B52">
        <v>2021</v>
      </c>
      <c r="C52" t="s">
        <v>132</v>
      </c>
      <c r="D52">
        <v>55</v>
      </c>
      <c r="E52">
        <v>1.7944999999999999E-2</v>
      </c>
      <c r="F52">
        <v>8.5873000000000005E-2</v>
      </c>
      <c r="G52">
        <v>2.5</v>
      </c>
      <c r="H52">
        <v>80693</v>
      </c>
      <c r="I52">
        <v>6929</v>
      </c>
      <c r="J52">
        <v>386142</v>
      </c>
      <c r="K52">
        <v>1682212</v>
      </c>
      <c r="L52">
        <v>20.85</v>
      </c>
    </row>
    <row r="53" spans="1:12" x14ac:dyDescent="0.3">
      <c r="A53" t="s">
        <v>131</v>
      </c>
      <c r="B53">
        <v>2021</v>
      </c>
      <c r="C53" t="s">
        <v>132</v>
      </c>
      <c r="D53">
        <v>60</v>
      </c>
      <c r="E53">
        <v>2.5152000000000001E-2</v>
      </c>
      <c r="F53">
        <v>0.118322</v>
      </c>
      <c r="G53">
        <v>2.5</v>
      </c>
      <c r="H53">
        <v>73764</v>
      </c>
      <c r="I53">
        <v>8728</v>
      </c>
      <c r="J53">
        <v>346999</v>
      </c>
      <c r="K53">
        <v>1296070</v>
      </c>
      <c r="L53">
        <v>17.57</v>
      </c>
    </row>
    <row r="54" spans="1:12" x14ac:dyDescent="0.3">
      <c r="A54" t="s">
        <v>131</v>
      </c>
      <c r="B54">
        <v>2021</v>
      </c>
      <c r="C54" t="s">
        <v>132</v>
      </c>
      <c r="D54">
        <v>65</v>
      </c>
      <c r="E54">
        <v>3.3253999999999999E-2</v>
      </c>
      <c r="F54">
        <v>0.153507</v>
      </c>
      <c r="G54">
        <v>2.5</v>
      </c>
      <c r="H54">
        <v>65036</v>
      </c>
      <c r="I54">
        <v>9983</v>
      </c>
      <c r="J54">
        <v>300221</v>
      </c>
      <c r="K54">
        <v>949071</v>
      </c>
      <c r="L54">
        <v>14.59</v>
      </c>
    </row>
    <row r="55" spans="1:12" x14ac:dyDescent="0.3">
      <c r="A55" t="s">
        <v>131</v>
      </c>
      <c r="B55">
        <v>2021</v>
      </c>
      <c r="C55" t="s">
        <v>132</v>
      </c>
      <c r="D55">
        <v>70</v>
      </c>
      <c r="E55">
        <v>5.0139000000000003E-2</v>
      </c>
      <c r="F55">
        <v>0.222772</v>
      </c>
      <c r="G55">
        <v>2.5</v>
      </c>
      <c r="H55">
        <v>55052</v>
      </c>
      <c r="I55">
        <v>12264</v>
      </c>
      <c r="J55">
        <v>244602</v>
      </c>
      <c r="K55">
        <v>648850</v>
      </c>
      <c r="L55">
        <v>11.79</v>
      </c>
    </row>
    <row r="56" spans="1:12" x14ac:dyDescent="0.3">
      <c r="A56" t="s">
        <v>131</v>
      </c>
      <c r="B56">
        <v>2021</v>
      </c>
      <c r="C56" t="s">
        <v>132</v>
      </c>
      <c r="D56">
        <v>75</v>
      </c>
      <c r="E56">
        <v>6.8094000000000002E-2</v>
      </c>
      <c r="F56">
        <v>0.29093999999999998</v>
      </c>
      <c r="G56">
        <v>2.5</v>
      </c>
      <c r="H56">
        <v>42788</v>
      </c>
      <c r="I56">
        <v>12449</v>
      </c>
      <c r="J56">
        <v>182819</v>
      </c>
      <c r="K56">
        <v>404248</v>
      </c>
      <c r="L56">
        <v>9.4499999999999993</v>
      </c>
    </row>
    <row r="57" spans="1:12" x14ac:dyDescent="0.3">
      <c r="A57" t="s">
        <v>131</v>
      </c>
      <c r="B57">
        <v>2021</v>
      </c>
      <c r="C57" t="s">
        <v>132</v>
      </c>
      <c r="D57">
        <v>80</v>
      </c>
      <c r="E57">
        <v>9.8724000000000006E-2</v>
      </c>
      <c r="F57">
        <v>0.39590599999999998</v>
      </c>
      <c r="G57">
        <v>2.5</v>
      </c>
      <c r="H57">
        <v>30339</v>
      </c>
      <c r="I57">
        <v>12012</v>
      </c>
      <c r="J57">
        <v>121668</v>
      </c>
      <c r="K57">
        <v>221429</v>
      </c>
      <c r="L57">
        <v>7.3</v>
      </c>
    </row>
    <row r="58" spans="1:12" x14ac:dyDescent="0.3">
      <c r="A58" t="s">
        <v>131</v>
      </c>
      <c r="B58">
        <v>2021</v>
      </c>
      <c r="C58" t="s">
        <v>132</v>
      </c>
      <c r="D58">
        <v>85</v>
      </c>
      <c r="E58">
        <v>0.18371899999999999</v>
      </c>
      <c r="F58">
        <v>1</v>
      </c>
      <c r="G58" t="s">
        <v>133</v>
      </c>
      <c r="H58">
        <v>18328</v>
      </c>
      <c r="I58">
        <v>18328</v>
      </c>
      <c r="J58">
        <v>99761</v>
      </c>
      <c r="K58">
        <v>99761</v>
      </c>
      <c r="L58">
        <v>5.44</v>
      </c>
    </row>
    <row r="59" spans="1:12" x14ac:dyDescent="0.3">
      <c r="A59" t="s">
        <v>131</v>
      </c>
      <c r="B59">
        <v>2010</v>
      </c>
      <c r="C59" t="s">
        <v>134</v>
      </c>
      <c r="D59">
        <v>0</v>
      </c>
      <c r="E59">
        <v>1.2324999999999999E-2</v>
      </c>
      <c r="F59">
        <v>1.2187999999999999E-2</v>
      </c>
      <c r="G59">
        <v>0.09</v>
      </c>
      <c r="H59" s="141">
        <v>100000</v>
      </c>
      <c r="I59">
        <v>1219</v>
      </c>
      <c r="J59">
        <v>98888</v>
      </c>
      <c r="K59">
        <v>7913019</v>
      </c>
      <c r="L59">
        <v>79.13</v>
      </c>
    </row>
    <row r="60" spans="1:12" x14ac:dyDescent="0.3">
      <c r="A60" t="s">
        <v>131</v>
      </c>
      <c r="B60">
        <v>2010</v>
      </c>
      <c r="C60" t="s">
        <v>134</v>
      </c>
      <c r="D60">
        <v>1</v>
      </c>
      <c r="E60">
        <v>5.1099999999999995E-4</v>
      </c>
      <c r="F60">
        <v>2.0430000000000001E-3</v>
      </c>
      <c r="G60">
        <v>1.5</v>
      </c>
      <c r="H60">
        <v>98781</v>
      </c>
      <c r="I60">
        <v>202</v>
      </c>
      <c r="J60">
        <v>394621</v>
      </c>
      <c r="K60">
        <v>7814131</v>
      </c>
      <c r="L60">
        <v>79.11</v>
      </c>
    </row>
    <row r="61" spans="1:12" x14ac:dyDescent="0.3">
      <c r="A61" t="s">
        <v>131</v>
      </c>
      <c r="B61">
        <v>2010</v>
      </c>
      <c r="C61" t="s">
        <v>134</v>
      </c>
      <c r="D61">
        <v>5</v>
      </c>
      <c r="E61">
        <v>2.31E-4</v>
      </c>
      <c r="F61">
        <v>1.155E-3</v>
      </c>
      <c r="G61">
        <v>2.5</v>
      </c>
      <c r="H61">
        <v>98579</v>
      </c>
      <c r="I61">
        <v>114</v>
      </c>
      <c r="J61">
        <v>492612</v>
      </c>
      <c r="K61">
        <v>7419510</v>
      </c>
      <c r="L61">
        <v>75.260000000000005</v>
      </c>
    </row>
    <row r="62" spans="1:12" x14ac:dyDescent="0.3">
      <c r="A62" t="s">
        <v>131</v>
      </c>
      <c r="B62">
        <v>2010</v>
      </c>
      <c r="C62" t="s">
        <v>134</v>
      </c>
      <c r="D62">
        <v>10</v>
      </c>
      <c r="E62">
        <v>3.01E-4</v>
      </c>
      <c r="F62">
        <v>1.505E-3</v>
      </c>
      <c r="G62">
        <v>2.5</v>
      </c>
      <c r="H62">
        <v>98466</v>
      </c>
      <c r="I62">
        <v>148</v>
      </c>
      <c r="J62">
        <v>491957</v>
      </c>
      <c r="K62">
        <v>6926898</v>
      </c>
      <c r="L62">
        <v>70.349999999999994</v>
      </c>
    </row>
    <row r="63" spans="1:12" x14ac:dyDescent="0.3">
      <c r="A63" t="s">
        <v>131</v>
      </c>
      <c r="B63">
        <v>2010</v>
      </c>
      <c r="C63" t="s">
        <v>134</v>
      </c>
      <c r="D63">
        <v>15</v>
      </c>
      <c r="E63">
        <v>4.6700000000000002E-4</v>
      </c>
      <c r="F63">
        <v>2.3319999999999999E-3</v>
      </c>
      <c r="G63">
        <v>2.5</v>
      </c>
      <c r="H63">
        <v>98317</v>
      </c>
      <c r="I63">
        <v>229</v>
      </c>
      <c r="J63">
        <v>491014</v>
      </c>
      <c r="K63">
        <v>6434941</v>
      </c>
      <c r="L63">
        <v>65.45</v>
      </c>
    </row>
    <row r="64" spans="1:12" x14ac:dyDescent="0.3">
      <c r="A64" t="s">
        <v>131</v>
      </c>
      <c r="B64">
        <v>2010</v>
      </c>
      <c r="C64" t="s">
        <v>134</v>
      </c>
      <c r="D64">
        <v>20</v>
      </c>
      <c r="E64">
        <v>5.2800000000000004E-4</v>
      </c>
      <c r="F64">
        <v>2.6359999999999999E-3</v>
      </c>
      <c r="G64">
        <v>2.5</v>
      </c>
      <c r="H64">
        <v>98088</v>
      </c>
      <c r="I64">
        <v>259</v>
      </c>
      <c r="J64">
        <v>489794</v>
      </c>
      <c r="K64">
        <v>5943927</v>
      </c>
      <c r="L64">
        <v>60.6</v>
      </c>
    </row>
    <row r="65" spans="1:12" x14ac:dyDescent="0.3">
      <c r="A65" t="s">
        <v>131</v>
      </c>
      <c r="B65">
        <v>2010</v>
      </c>
      <c r="C65" t="s">
        <v>134</v>
      </c>
      <c r="D65">
        <v>25</v>
      </c>
      <c r="E65">
        <v>5.8900000000000001E-4</v>
      </c>
      <c r="F65">
        <v>2.9390000000000002E-3</v>
      </c>
      <c r="G65">
        <v>2.5</v>
      </c>
      <c r="H65">
        <v>97829</v>
      </c>
      <c r="I65">
        <v>287</v>
      </c>
      <c r="J65">
        <v>488429</v>
      </c>
      <c r="K65">
        <v>5454134</v>
      </c>
      <c r="L65">
        <v>55.75</v>
      </c>
    </row>
    <row r="66" spans="1:12" x14ac:dyDescent="0.3">
      <c r="A66" t="s">
        <v>131</v>
      </c>
      <c r="B66">
        <v>2010</v>
      </c>
      <c r="C66" t="s">
        <v>134</v>
      </c>
      <c r="D66">
        <v>30</v>
      </c>
      <c r="E66">
        <v>6.4000000000000005E-4</v>
      </c>
      <c r="F66">
        <v>3.1939999999999998E-3</v>
      </c>
      <c r="G66">
        <v>2.5</v>
      </c>
      <c r="H66">
        <v>97542</v>
      </c>
      <c r="I66">
        <v>312</v>
      </c>
      <c r="J66">
        <v>486931</v>
      </c>
      <c r="K66">
        <v>4965705</v>
      </c>
      <c r="L66">
        <v>50.91</v>
      </c>
    </row>
    <row r="67" spans="1:12" x14ac:dyDescent="0.3">
      <c r="A67" t="s">
        <v>131</v>
      </c>
      <c r="B67">
        <v>2010</v>
      </c>
      <c r="C67" t="s">
        <v>134</v>
      </c>
      <c r="D67">
        <v>35</v>
      </c>
      <c r="E67">
        <v>9.6500000000000004E-4</v>
      </c>
      <c r="F67">
        <v>4.8139999999999997E-3</v>
      </c>
      <c r="G67">
        <v>2.5</v>
      </c>
      <c r="H67">
        <v>97230</v>
      </c>
      <c r="I67">
        <v>468</v>
      </c>
      <c r="J67">
        <v>484982</v>
      </c>
      <c r="K67">
        <v>4478774</v>
      </c>
      <c r="L67">
        <v>46.06</v>
      </c>
    </row>
    <row r="68" spans="1:12" x14ac:dyDescent="0.3">
      <c r="A68" t="s">
        <v>131</v>
      </c>
      <c r="B68">
        <v>2010</v>
      </c>
      <c r="C68" t="s">
        <v>134</v>
      </c>
      <c r="D68">
        <v>40</v>
      </c>
      <c r="E68">
        <v>1.635E-3</v>
      </c>
      <c r="F68">
        <v>8.1440000000000002E-3</v>
      </c>
      <c r="G68">
        <v>2.5</v>
      </c>
      <c r="H68">
        <v>96762</v>
      </c>
      <c r="I68">
        <v>788</v>
      </c>
      <c r="J68">
        <v>481842</v>
      </c>
      <c r="K68">
        <v>3993792</v>
      </c>
      <c r="L68">
        <v>41.27</v>
      </c>
    </row>
    <row r="69" spans="1:12" x14ac:dyDescent="0.3">
      <c r="A69" t="s">
        <v>131</v>
      </c>
      <c r="B69">
        <v>2010</v>
      </c>
      <c r="C69" t="s">
        <v>134</v>
      </c>
      <c r="D69">
        <v>45</v>
      </c>
      <c r="E69">
        <v>2.6489999999999999E-3</v>
      </c>
      <c r="F69">
        <v>1.3155E-2</v>
      </c>
      <c r="G69">
        <v>2.5</v>
      </c>
      <c r="H69">
        <v>95974</v>
      </c>
      <c r="I69">
        <v>1263</v>
      </c>
      <c r="J69">
        <v>476715</v>
      </c>
      <c r="K69">
        <v>3511951</v>
      </c>
      <c r="L69">
        <v>36.590000000000003</v>
      </c>
    </row>
    <row r="70" spans="1:12" x14ac:dyDescent="0.3">
      <c r="A70" t="s">
        <v>131</v>
      </c>
      <c r="B70">
        <v>2010</v>
      </c>
      <c r="C70" t="s">
        <v>134</v>
      </c>
      <c r="D70">
        <v>50</v>
      </c>
      <c r="E70">
        <v>4.3439999999999998E-3</v>
      </c>
      <c r="F70">
        <v>2.1489000000000001E-2</v>
      </c>
      <c r="G70">
        <v>2.5</v>
      </c>
      <c r="H70">
        <v>94712</v>
      </c>
      <c r="I70">
        <v>2035</v>
      </c>
      <c r="J70">
        <v>468470</v>
      </c>
      <c r="K70">
        <v>3035235</v>
      </c>
      <c r="L70">
        <v>32.049999999999997</v>
      </c>
    </row>
    <row r="71" spans="1:12" x14ac:dyDescent="0.3">
      <c r="A71" t="s">
        <v>131</v>
      </c>
      <c r="B71">
        <v>2010</v>
      </c>
      <c r="C71" t="s">
        <v>134</v>
      </c>
      <c r="D71">
        <v>55</v>
      </c>
      <c r="E71">
        <v>6.7910000000000002E-3</v>
      </c>
      <c r="F71">
        <v>3.3388000000000001E-2</v>
      </c>
      <c r="G71">
        <v>2.5</v>
      </c>
      <c r="H71">
        <v>92676</v>
      </c>
      <c r="I71">
        <v>3094</v>
      </c>
      <c r="J71">
        <v>455647</v>
      </c>
      <c r="K71">
        <v>2566765</v>
      </c>
      <c r="L71">
        <v>27.7</v>
      </c>
    </row>
    <row r="72" spans="1:12" x14ac:dyDescent="0.3">
      <c r="A72" t="s">
        <v>131</v>
      </c>
      <c r="B72">
        <v>2010</v>
      </c>
      <c r="C72" t="s">
        <v>134</v>
      </c>
      <c r="D72">
        <v>60</v>
      </c>
      <c r="E72">
        <v>1.0177E-2</v>
      </c>
      <c r="F72">
        <v>4.9624000000000001E-2</v>
      </c>
      <c r="G72">
        <v>2.5</v>
      </c>
      <c r="H72">
        <v>89582</v>
      </c>
      <c r="I72">
        <v>4445</v>
      </c>
      <c r="J72">
        <v>436797</v>
      </c>
      <c r="K72">
        <v>2111118</v>
      </c>
      <c r="L72">
        <v>23.57</v>
      </c>
    </row>
    <row r="73" spans="1:12" x14ac:dyDescent="0.3">
      <c r="A73" t="s">
        <v>131</v>
      </c>
      <c r="B73">
        <v>2010</v>
      </c>
      <c r="C73" t="s">
        <v>134</v>
      </c>
      <c r="D73">
        <v>65</v>
      </c>
      <c r="E73">
        <v>1.6396999999999998E-2</v>
      </c>
      <c r="F73">
        <v>7.8756999999999994E-2</v>
      </c>
      <c r="G73">
        <v>2.5</v>
      </c>
      <c r="H73">
        <v>85137</v>
      </c>
      <c r="I73">
        <v>6705</v>
      </c>
      <c r="J73">
        <v>408921</v>
      </c>
      <c r="K73">
        <v>1674321</v>
      </c>
      <c r="L73">
        <v>19.670000000000002</v>
      </c>
    </row>
    <row r="74" spans="1:12" x14ac:dyDescent="0.3">
      <c r="A74" t="s">
        <v>131</v>
      </c>
      <c r="B74">
        <v>2010</v>
      </c>
      <c r="C74" t="s">
        <v>134</v>
      </c>
      <c r="D74">
        <v>70</v>
      </c>
      <c r="E74">
        <v>2.1526E-2</v>
      </c>
      <c r="F74">
        <v>0.102135</v>
      </c>
      <c r="G74">
        <v>2.5</v>
      </c>
      <c r="H74">
        <v>78432</v>
      </c>
      <c r="I74">
        <v>8011</v>
      </c>
      <c r="J74">
        <v>372132</v>
      </c>
      <c r="K74">
        <v>1265400</v>
      </c>
      <c r="L74">
        <v>16.13</v>
      </c>
    </row>
    <row r="75" spans="1:12" x14ac:dyDescent="0.3">
      <c r="A75" t="s">
        <v>131</v>
      </c>
      <c r="B75">
        <v>2010</v>
      </c>
      <c r="C75" t="s">
        <v>134</v>
      </c>
      <c r="D75">
        <v>75</v>
      </c>
      <c r="E75">
        <v>3.8266000000000001E-2</v>
      </c>
      <c r="F75">
        <v>0.174623</v>
      </c>
      <c r="G75">
        <v>2.5</v>
      </c>
      <c r="H75">
        <v>70421</v>
      </c>
      <c r="I75">
        <v>12297</v>
      </c>
      <c r="J75">
        <v>321362</v>
      </c>
      <c r="K75">
        <v>893268</v>
      </c>
      <c r="L75">
        <v>12.68</v>
      </c>
    </row>
    <row r="76" spans="1:12" x14ac:dyDescent="0.3">
      <c r="A76" t="s">
        <v>131</v>
      </c>
      <c r="B76">
        <v>2010</v>
      </c>
      <c r="C76" t="s">
        <v>134</v>
      </c>
      <c r="D76">
        <v>80</v>
      </c>
      <c r="E76">
        <v>6.2458E-2</v>
      </c>
      <c r="F76">
        <v>0.27011499999999999</v>
      </c>
      <c r="G76">
        <v>2.5</v>
      </c>
      <c r="H76">
        <v>58124</v>
      </c>
      <c r="I76">
        <v>15700</v>
      </c>
      <c r="J76">
        <v>251369</v>
      </c>
      <c r="K76">
        <v>571906</v>
      </c>
      <c r="L76">
        <v>9.84</v>
      </c>
    </row>
    <row r="77" spans="1:12" x14ac:dyDescent="0.3">
      <c r="A77" t="s">
        <v>131</v>
      </c>
      <c r="B77">
        <v>2010</v>
      </c>
      <c r="C77" t="s">
        <v>134</v>
      </c>
      <c r="D77">
        <v>85</v>
      </c>
      <c r="E77">
        <v>0.132352</v>
      </c>
      <c r="F77">
        <v>1</v>
      </c>
      <c r="G77" t="s">
        <v>133</v>
      </c>
      <c r="H77">
        <v>42424</v>
      </c>
      <c r="I77">
        <v>42424</v>
      </c>
      <c r="J77">
        <v>320537</v>
      </c>
      <c r="K77">
        <v>320537</v>
      </c>
      <c r="L77">
        <v>7.56</v>
      </c>
    </row>
    <row r="78" spans="1:12" x14ac:dyDescent="0.3">
      <c r="A78" s="140" t="s">
        <v>131</v>
      </c>
      <c r="B78" s="140">
        <v>2019</v>
      </c>
      <c r="C78" s="140" t="s">
        <v>134</v>
      </c>
      <c r="D78" s="140">
        <v>0</v>
      </c>
      <c r="E78" s="140">
        <v>9.8069999999999997E-3</v>
      </c>
      <c r="F78" s="140">
        <v>9.7199999999999995E-3</v>
      </c>
      <c r="G78" s="140">
        <v>0.08</v>
      </c>
      <c r="H78" s="143">
        <v>100000</v>
      </c>
      <c r="I78" s="140">
        <v>972</v>
      </c>
      <c r="J78" s="140">
        <v>99106</v>
      </c>
      <c r="K78" s="140">
        <v>8069036</v>
      </c>
      <c r="L78" s="140">
        <v>80.69</v>
      </c>
    </row>
    <row r="79" spans="1:12" x14ac:dyDescent="0.3">
      <c r="A79" s="140" t="s">
        <v>131</v>
      </c>
      <c r="B79" s="140">
        <v>2019</v>
      </c>
      <c r="C79" s="140" t="s">
        <v>134</v>
      </c>
      <c r="D79" s="140">
        <v>1</v>
      </c>
      <c r="E79" s="140">
        <v>3.9399999999999998E-4</v>
      </c>
      <c r="F79" s="140">
        <v>1.5740000000000001E-3</v>
      </c>
      <c r="G79" s="140">
        <v>1.51</v>
      </c>
      <c r="H79" s="140">
        <v>99028</v>
      </c>
      <c r="I79" s="140">
        <v>156</v>
      </c>
      <c r="J79" s="140">
        <v>395724</v>
      </c>
      <c r="K79" s="140">
        <v>7969929</v>
      </c>
      <c r="L79" s="140">
        <v>80.48</v>
      </c>
    </row>
    <row r="80" spans="1:12" x14ac:dyDescent="0.3">
      <c r="A80" s="140" t="s">
        <v>131</v>
      </c>
      <c r="B80" s="140">
        <v>2019</v>
      </c>
      <c r="C80" s="140" t="s">
        <v>134</v>
      </c>
      <c r="D80" s="140">
        <v>5</v>
      </c>
      <c r="E80" s="140">
        <v>2.1699999999999999E-4</v>
      </c>
      <c r="F80" s="140">
        <v>1.0839999999999999E-3</v>
      </c>
      <c r="G80" s="140">
        <v>2.5</v>
      </c>
      <c r="H80" s="140">
        <v>98872</v>
      </c>
      <c r="I80" s="140">
        <v>107</v>
      </c>
      <c r="J80" s="140">
        <v>494093</v>
      </c>
      <c r="K80" s="140">
        <v>7574206</v>
      </c>
      <c r="L80" s="140">
        <v>76.61</v>
      </c>
    </row>
    <row r="81" spans="1:12" x14ac:dyDescent="0.3">
      <c r="A81" s="140" t="s">
        <v>131</v>
      </c>
      <c r="B81" s="140">
        <v>2019</v>
      </c>
      <c r="C81" s="140" t="s">
        <v>134</v>
      </c>
      <c r="D81" s="140">
        <v>10</v>
      </c>
      <c r="E81" s="140">
        <v>2.5099999999999998E-4</v>
      </c>
      <c r="F81" s="140">
        <v>1.256E-3</v>
      </c>
      <c r="G81" s="140">
        <v>2.5</v>
      </c>
      <c r="H81" s="140">
        <v>98765</v>
      </c>
      <c r="I81" s="140">
        <v>124</v>
      </c>
      <c r="J81" s="140">
        <v>493515</v>
      </c>
      <c r="K81" s="140">
        <v>7080113</v>
      </c>
      <c r="L81" s="140">
        <v>71.69</v>
      </c>
    </row>
    <row r="82" spans="1:12" x14ac:dyDescent="0.3">
      <c r="A82" s="140" t="s">
        <v>131</v>
      </c>
      <c r="B82" s="140">
        <v>2019</v>
      </c>
      <c r="C82" s="140" t="s">
        <v>134</v>
      </c>
      <c r="D82" s="140">
        <v>15</v>
      </c>
      <c r="E82" s="140">
        <v>4.73E-4</v>
      </c>
      <c r="F82" s="140">
        <v>2.362E-3</v>
      </c>
      <c r="G82" s="140">
        <v>2.5</v>
      </c>
      <c r="H82" s="140">
        <v>98641</v>
      </c>
      <c r="I82" s="140">
        <v>233</v>
      </c>
      <c r="J82" s="140">
        <v>492622</v>
      </c>
      <c r="K82" s="140">
        <v>6586598</v>
      </c>
      <c r="L82" s="140">
        <v>66.77</v>
      </c>
    </row>
    <row r="83" spans="1:12" x14ac:dyDescent="0.3">
      <c r="A83" s="140" t="s">
        <v>131</v>
      </c>
      <c r="B83" s="140">
        <v>2019</v>
      </c>
      <c r="C83" s="140" t="s">
        <v>134</v>
      </c>
      <c r="D83" s="140">
        <v>20</v>
      </c>
      <c r="E83" s="140">
        <v>4.8200000000000001E-4</v>
      </c>
      <c r="F83" s="140">
        <v>2.408E-3</v>
      </c>
      <c r="G83" s="140">
        <v>2.5</v>
      </c>
      <c r="H83" s="140">
        <v>98408</v>
      </c>
      <c r="I83" s="140">
        <v>237</v>
      </c>
      <c r="J83" s="140">
        <v>491447</v>
      </c>
      <c r="K83" s="140">
        <v>6093976</v>
      </c>
      <c r="L83" s="140">
        <v>61.93</v>
      </c>
    </row>
    <row r="84" spans="1:12" x14ac:dyDescent="0.3">
      <c r="A84" s="140" t="s">
        <v>131</v>
      </c>
      <c r="B84" s="140">
        <v>2019</v>
      </c>
      <c r="C84" s="140" t="s">
        <v>134</v>
      </c>
      <c r="D84" s="140">
        <v>25</v>
      </c>
      <c r="E84" s="140">
        <v>5.9999999999999995E-4</v>
      </c>
      <c r="F84" s="140">
        <v>2.996E-3</v>
      </c>
      <c r="G84" s="140">
        <v>2.5</v>
      </c>
      <c r="H84" s="140">
        <v>98171</v>
      </c>
      <c r="I84" s="140">
        <v>294</v>
      </c>
      <c r="J84" s="140">
        <v>490120</v>
      </c>
      <c r="K84" s="140">
        <v>5602529</v>
      </c>
      <c r="L84" s="140">
        <v>57.07</v>
      </c>
    </row>
    <row r="85" spans="1:12" x14ac:dyDescent="0.3">
      <c r="A85" s="140" t="s">
        <v>131</v>
      </c>
      <c r="B85" s="140">
        <v>2019</v>
      </c>
      <c r="C85" s="140" t="s">
        <v>134</v>
      </c>
      <c r="D85" s="140">
        <v>30</v>
      </c>
      <c r="E85" s="140">
        <v>7.2400000000000003E-4</v>
      </c>
      <c r="F85" s="140">
        <v>3.6150000000000002E-3</v>
      </c>
      <c r="G85" s="140">
        <v>2.5</v>
      </c>
      <c r="H85" s="140">
        <v>97877</v>
      </c>
      <c r="I85" s="140">
        <v>354</v>
      </c>
      <c r="J85" s="140">
        <v>488500</v>
      </c>
      <c r="K85" s="140">
        <v>5112409</v>
      </c>
      <c r="L85" s="140">
        <v>52.23</v>
      </c>
    </row>
    <row r="86" spans="1:12" x14ac:dyDescent="0.3">
      <c r="A86" s="140" t="s">
        <v>131</v>
      </c>
      <c r="B86" s="140">
        <v>2019</v>
      </c>
      <c r="C86" s="140" t="s">
        <v>134</v>
      </c>
      <c r="D86" s="140">
        <v>35</v>
      </c>
      <c r="E86" s="140">
        <v>9.810000000000001E-4</v>
      </c>
      <c r="F86" s="140">
        <v>4.8929999999999998E-3</v>
      </c>
      <c r="G86" s="140">
        <v>2.5</v>
      </c>
      <c r="H86" s="140">
        <v>97523</v>
      </c>
      <c r="I86" s="140">
        <v>477</v>
      </c>
      <c r="J86" s="140">
        <v>486422</v>
      </c>
      <c r="K86" s="140">
        <v>4623909</v>
      </c>
      <c r="L86" s="140">
        <v>47.41</v>
      </c>
    </row>
    <row r="87" spans="1:12" x14ac:dyDescent="0.3">
      <c r="A87" s="140" t="s">
        <v>131</v>
      </c>
      <c r="B87" s="140">
        <v>2019</v>
      </c>
      <c r="C87" s="140" t="s">
        <v>134</v>
      </c>
      <c r="D87" s="140">
        <v>40</v>
      </c>
      <c r="E87" s="140">
        <v>1.4859999999999999E-3</v>
      </c>
      <c r="F87" s="140">
        <v>7.4000000000000003E-3</v>
      </c>
      <c r="G87" s="140">
        <v>2.5</v>
      </c>
      <c r="H87" s="140">
        <v>97046</v>
      </c>
      <c r="I87" s="140">
        <v>718</v>
      </c>
      <c r="J87" s="140">
        <v>483434</v>
      </c>
      <c r="K87" s="140">
        <v>4137487</v>
      </c>
      <c r="L87" s="140">
        <v>42.63</v>
      </c>
    </row>
    <row r="88" spans="1:12" x14ac:dyDescent="0.3">
      <c r="A88" s="140" t="s">
        <v>131</v>
      </c>
      <c r="B88" s="140">
        <v>2019</v>
      </c>
      <c r="C88" s="140" t="s">
        <v>134</v>
      </c>
      <c r="D88" s="140">
        <v>45</v>
      </c>
      <c r="E88" s="140">
        <v>2.0560000000000001E-3</v>
      </c>
      <c r="F88" s="140">
        <v>1.0225E-2</v>
      </c>
      <c r="G88" s="140">
        <v>2.5</v>
      </c>
      <c r="H88" s="140">
        <v>96328</v>
      </c>
      <c r="I88" s="140">
        <v>985</v>
      </c>
      <c r="J88" s="140">
        <v>479176</v>
      </c>
      <c r="K88" s="140">
        <v>3654054</v>
      </c>
      <c r="L88" s="140">
        <v>37.93</v>
      </c>
    </row>
    <row r="89" spans="1:12" x14ac:dyDescent="0.3">
      <c r="A89" s="140" t="s">
        <v>131</v>
      </c>
      <c r="B89" s="140">
        <v>2019</v>
      </c>
      <c r="C89" s="140" t="s">
        <v>134</v>
      </c>
      <c r="D89" s="140">
        <v>50</v>
      </c>
      <c r="E89" s="140">
        <v>3.6120000000000002E-3</v>
      </c>
      <c r="F89" s="140">
        <v>1.7899000000000002E-2</v>
      </c>
      <c r="G89" s="140">
        <v>2.5</v>
      </c>
      <c r="H89" s="140">
        <v>95343</v>
      </c>
      <c r="I89" s="140">
        <v>1707</v>
      </c>
      <c r="J89" s="140">
        <v>472447</v>
      </c>
      <c r="K89" s="140">
        <v>3174878</v>
      </c>
      <c r="L89" s="140">
        <v>33.299999999999997</v>
      </c>
    </row>
    <row r="90" spans="1:12" x14ac:dyDescent="0.3">
      <c r="A90" s="140" t="s">
        <v>131</v>
      </c>
      <c r="B90" s="140">
        <v>2019</v>
      </c>
      <c r="C90" s="140" t="s">
        <v>134</v>
      </c>
      <c r="D90" s="140">
        <v>55</v>
      </c>
      <c r="E90" s="140">
        <v>5.7169999999999999E-3</v>
      </c>
      <c r="F90" s="140">
        <v>2.8183E-2</v>
      </c>
      <c r="G90" s="140">
        <v>2.5</v>
      </c>
      <c r="H90" s="140">
        <v>93636</v>
      </c>
      <c r="I90" s="140">
        <v>2639</v>
      </c>
      <c r="J90" s="140">
        <v>461583</v>
      </c>
      <c r="K90" s="140">
        <v>2702431</v>
      </c>
      <c r="L90" s="140">
        <v>28.86</v>
      </c>
    </row>
    <row r="91" spans="1:12" x14ac:dyDescent="0.3">
      <c r="A91" s="140" t="s">
        <v>131</v>
      </c>
      <c r="B91" s="140">
        <v>2019</v>
      </c>
      <c r="C91" s="140" t="s">
        <v>134</v>
      </c>
      <c r="D91" s="140">
        <v>60</v>
      </c>
      <c r="E91" s="140">
        <v>8.6210000000000002E-3</v>
      </c>
      <c r="F91" s="140">
        <v>4.2195999999999997E-2</v>
      </c>
      <c r="G91" s="140">
        <v>2.5</v>
      </c>
      <c r="H91" s="140">
        <v>90997</v>
      </c>
      <c r="I91" s="140">
        <v>3840</v>
      </c>
      <c r="J91" s="140">
        <v>445387</v>
      </c>
      <c r="K91" s="140">
        <v>2240847</v>
      </c>
      <c r="L91" s="140">
        <v>24.63</v>
      </c>
    </row>
    <row r="92" spans="1:12" x14ac:dyDescent="0.3">
      <c r="A92" s="140" t="s">
        <v>131</v>
      </c>
      <c r="B92" s="140">
        <v>2019</v>
      </c>
      <c r="C92" s="140" t="s">
        <v>134</v>
      </c>
      <c r="D92" s="140">
        <v>65</v>
      </c>
      <c r="E92" s="140">
        <v>1.3389E-2</v>
      </c>
      <c r="F92" s="140">
        <v>6.4776E-2</v>
      </c>
      <c r="G92" s="140">
        <v>2.5</v>
      </c>
      <c r="H92" s="140">
        <v>87157</v>
      </c>
      <c r="I92" s="140">
        <v>5646</v>
      </c>
      <c r="J92" s="140">
        <v>421673</v>
      </c>
      <c r="K92" s="140">
        <v>1795460</v>
      </c>
      <c r="L92" s="140">
        <v>20.6</v>
      </c>
    </row>
    <row r="93" spans="1:12" x14ac:dyDescent="0.3">
      <c r="A93" s="140" t="s">
        <v>131</v>
      </c>
      <c r="B93" s="140">
        <v>2019</v>
      </c>
      <c r="C93" s="140" t="s">
        <v>134</v>
      </c>
      <c r="D93" s="140">
        <v>70</v>
      </c>
      <c r="E93" s="140">
        <v>1.9029999999999998E-2</v>
      </c>
      <c r="F93" s="140">
        <v>9.0827000000000005E-2</v>
      </c>
      <c r="G93" s="140">
        <v>2.5</v>
      </c>
      <c r="H93" s="140">
        <v>81512</v>
      </c>
      <c r="I93" s="140">
        <v>7403</v>
      </c>
      <c r="J93" s="140">
        <v>389050</v>
      </c>
      <c r="K93" s="140">
        <v>1373787</v>
      </c>
      <c r="L93" s="140">
        <v>16.850000000000001</v>
      </c>
    </row>
    <row r="94" spans="1:12" x14ac:dyDescent="0.3">
      <c r="A94" s="140" t="s">
        <v>131</v>
      </c>
      <c r="B94" s="140">
        <v>2019</v>
      </c>
      <c r="C94" s="140" t="s">
        <v>134</v>
      </c>
      <c r="D94" s="140">
        <v>75</v>
      </c>
      <c r="E94" s="140">
        <v>3.0578999999999999E-2</v>
      </c>
      <c r="F94" s="140">
        <v>0.142038</v>
      </c>
      <c r="G94" s="140">
        <v>2.5</v>
      </c>
      <c r="H94" s="140">
        <v>74108</v>
      </c>
      <c r="I94" s="140">
        <v>10526</v>
      </c>
      <c r="J94" s="140">
        <v>344226</v>
      </c>
      <c r="K94" s="140">
        <v>984737</v>
      </c>
      <c r="L94" s="140">
        <v>13.29</v>
      </c>
    </row>
    <row r="95" spans="1:12" x14ac:dyDescent="0.3">
      <c r="A95" s="140" t="s">
        <v>131</v>
      </c>
      <c r="B95" s="140">
        <v>2019</v>
      </c>
      <c r="C95" s="140" t="s">
        <v>134</v>
      </c>
      <c r="D95" s="140">
        <v>80</v>
      </c>
      <c r="E95" s="140">
        <v>5.6239999999999998E-2</v>
      </c>
      <c r="F95" s="140">
        <v>0.24653600000000001</v>
      </c>
      <c r="G95" s="140">
        <v>2.5</v>
      </c>
      <c r="H95" s="140">
        <v>63582</v>
      </c>
      <c r="I95" s="140">
        <v>15675</v>
      </c>
      <c r="J95" s="140">
        <v>278722</v>
      </c>
      <c r="K95" s="140">
        <v>640512</v>
      </c>
      <c r="L95" s="140">
        <v>10.07</v>
      </c>
    </row>
    <row r="96" spans="1:12" x14ac:dyDescent="0.3">
      <c r="A96" s="140" t="s">
        <v>131</v>
      </c>
      <c r="B96" s="140">
        <v>2019</v>
      </c>
      <c r="C96" s="140" t="s">
        <v>134</v>
      </c>
      <c r="D96" s="140">
        <v>85</v>
      </c>
      <c r="E96" s="140">
        <v>0.13241600000000001</v>
      </c>
      <c r="F96" s="140">
        <v>1</v>
      </c>
      <c r="G96" s="140" t="s">
        <v>133</v>
      </c>
      <c r="H96" s="140">
        <v>47907</v>
      </c>
      <c r="I96" s="140">
        <v>47907</v>
      </c>
      <c r="J96" s="140">
        <v>361789</v>
      </c>
      <c r="K96" s="140">
        <v>361789</v>
      </c>
      <c r="L96" s="140">
        <v>7.55</v>
      </c>
    </row>
    <row r="97" spans="1:12" x14ac:dyDescent="0.3">
      <c r="A97" t="s">
        <v>131</v>
      </c>
      <c r="B97">
        <v>2021</v>
      </c>
      <c r="C97" t="s">
        <v>134</v>
      </c>
      <c r="D97">
        <v>0</v>
      </c>
      <c r="E97">
        <v>8.8100000000000001E-3</v>
      </c>
      <c r="F97">
        <v>8.7390000000000002E-3</v>
      </c>
      <c r="G97">
        <v>0.08</v>
      </c>
      <c r="H97" s="141">
        <v>100000</v>
      </c>
      <c r="I97">
        <v>874</v>
      </c>
      <c r="J97">
        <v>99194</v>
      </c>
      <c r="K97">
        <v>7593453</v>
      </c>
      <c r="L97">
        <v>75.930000000000007</v>
      </c>
    </row>
    <row r="98" spans="1:12" x14ac:dyDescent="0.3">
      <c r="A98" t="s">
        <v>131</v>
      </c>
      <c r="B98">
        <v>2021</v>
      </c>
      <c r="C98" t="s">
        <v>134</v>
      </c>
      <c r="D98">
        <v>1</v>
      </c>
      <c r="E98">
        <v>4.28E-4</v>
      </c>
      <c r="F98">
        <v>1.709E-3</v>
      </c>
      <c r="G98">
        <v>1.51</v>
      </c>
      <c r="H98">
        <v>99126</v>
      </c>
      <c r="I98">
        <v>169</v>
      </c>
      <c r="J98">
        <v>396082</v>
      </c>
      <c r="K98">
        <v>7494259</v>
      </c>
      <c r="L98">
        <v>75.599999999999994</v>
      </c>
    </row>
    <row r="99" spans="1:12" x14ac:dyDescent="0.3">
      <c r="A99" t="s">
        <v>131</v>
      </c>
      <c r="B99">
        <v>2021</v>
      </c>
      <c r="C99" t="s">
        <v>134</v>
      </c>
      <c r="D99">
        <v>5</v>
      </c>
      <c r="E99">
        <v>2.24E-4</v>
      </c>
      <c r="F99">
        <v>1.1199999999999999E-3</v>
      </c>
      <c r="G99">
        <v>2.5</v>
      </c>
      <c r="H99">
        <v>98957</v>
      </c>
      <c r="I99">
        <v>111</v>
      </c>
      <c r="J99">
        <v>494507</v>
      </c>
      <c r="K99">
        <v>7098176</v>
      </c>
      <c r="L99">
        <v>71.73</v>
      </c>
    </row>
    <row r="100" spans="1:12" x14ac:dyDescent="0.3">
      <c r="A100" t="s">
        <v>131</v>
      </c>
      <c r="B100">
        <v>2021</v>
      </c>
      <c r="C100" t="s">
        <v>134</v>
      </c>
      <c r="D100">
        <v>10</v>
      </c>
      <c r="E100">
        <v>2.32E-4</v>
      </c>
      <c r="F100">
        <v>1.1609999999999999E-3</v>
      </c>
      <c r="G100">
        <v>2.5</v>
      </c>
      <c r="H100">
        <v>98846</v>
      </c>
      <c r="I100">
        <v>115</v>
      </c>
      <c r="J100">
        <v>493943</v>
      </c>
      <c r="K100">
        <v>6603670</v>
      </c>
      <c r="L100">
        <v>66.81</v>
      </c>
    </row>
    <row r="101" spans="1:12" x14ac:dyDescent="0.3">
      <c r="A101" t="s">
        <v>131</v>
      </c>
      <c r="B101">
        <v>2021</v>
      </c>
      <c r="C101" t="s">
        <v>134</v>
      </c>
      <c r="D101">
        <v>15</v>
      </c>
      <c r="E101">
        <v>4.3399999999999998E-4</v>
      </c>
      <c r="F101">
        <v>2.1679999999999998E-3</v>
      </c>
      <c r="G101">
        <v>2.5</v>
      </c>
      <c r="H101">
        <v>98731</v>
      </c>
      <c r="I101">
        <v>214</v>
      </c>
      <c r="J101">
        <v>493121</v>
      </c>
      <c r="K101">
        <v>6109727</v>
      </c>
      <c r="L101">
        <v>61.88</v>
      </c>
    </row>
    <row r="102" spans="1:12" x14ac:dyDescent="0.3">
      <c r="A102" t="s">
        <v>131</v>
      </c>
      <c r="B102">
        <v>2021</v>
      </c>
      <c r="C102" t="s">
        <v>134</v>
      </c>
      <c r="D102">
        <v>20</v>
      </c>
      <c r="E102">
        <v>6.2399999999999999E-4</v>
      </c>
      <c r="F102">
        <v>3.114E-3</v>
      </c>
      <c r="G102">
        <v>2.5</v>
      </c>
      <c r="H102">
        <v>98517</v>
      </c>
      <c r="I102">
        <v>307</v>
      </c>
      <c r="J102">
        <v>491819</v>
      </c>
      <c r="K102">
        <v>5616607</v>
      </c>
      <c r="L102">
        <v>57.01</v>
      </c>
    </row>
    <row r="103" spans="1:12" x14ac:dyDescent="0.3">
      <c r="A103" t="s">
        <v>131</v>
      </c>
      <c r="B103">
        <v>2021</v>
      </c>
      <c r="C103" t="s">
        <v>134</v>
      </c>
      <c r="D103">
        <v>25</v>
      </c>
      <c r="E103">
        <v>8.92E-4</v>
      </c>
      <c r="F103">
        <v>4.4520000000000002E-3</v>
      </c>
      <c r="G103">
        <v>2.5</v>
      </c>
      <c r="H103">
        <v>98210</v>
      </c>
      <c r="I103">
        <v>437</v>
      </c>
      <c r="J103">
        <v>489958</v>
      </c>
      <c r="K103">
        <v>5124788</v>
      </c>
      <c r="L103">
        <v>52.18</v>
      </c>
    </row>
    <row r="104" spans="1:12" x14ac:dyDescent="0.3">
      <c r="A104" t="s">
        <v>131</v>
      </c>
      <c r="B104">
        <v>2021</v>
      </c>
      <c r="C104" t="s">
        <v>134</v>
      </c>
      <c r="D104">
        <v>30</v>
      </c>
      <c r="E104">
        <v>1.0280000000000001E-3</v>
      </c>
      <c r="F104">
        <v>5.1269999999999996E-3</v>
      </c>
      <c r="G104">
        <v>2.5</v>
      </c>
      <c r="H104">
        <v>97773</v>
      </c>
      <c r="I104">
        <v>501</v>
      </c>
      <c r="J104">
        <v>487612</v>
      </c>
      <c r="K104">
        <v>4634830</v>
      </c>
      <c r="L104">
        <v>47.4</v>
      </c>
    </row>
    <row r="105" spans="1:12" x14ac:dyDescent="0.3">
      <c r="A105" t="s">
        <v>131</v>
      </c>
      <c r="B105">
        <v>2021</v>
      </c>
      <c r="C105" t="s">
        <v>134</v>
      </c>
      <c r="D105">
        <v>35</v>
      </c>
      <c r="E105">
        <v>1.6670000000000001E-3</v>
      </c>
      <c r="F105">
        <v>8.2990000000000008E-3</v>
      </c>
      <c r="G105">
        <v>2.5</v>
      </c>
      <c r="H105">
        <v>97272</v>
      </c>
      <c r="I105">
        <v>807</v>
      </c>
      <c r="J105">
        <v>484341</v>
      </c>
      <c r="K105">
        <v>4147217</v>
      </c>
      <c r="L105">
        <v>42.64</v>
      </c>
    </row>
    <row r="106" spans="1:12" x14ac:dyDescent="0.3">
      <c r="A106" t="s">
        <v>131</v>
      </c>
      <c r="B106">
        <v>2021</v>
      </c>
      <c r="C106" t="s">
        <v>134</v>
      </c>
      <c r="D106">
        <v>40</v>
      </c>
      <c r="E106">
        <v>2.4780000000000002E-3</v>
      </c>
      <c r="F106">
        <v>1.2312E-2</v>
      </c>
      <c r="G106">
        <v>2.5</v>
      </c>
      <c r="H106">
        <v>96465</v>
      </c>
      <c r="I106">
        <v>1188</v>
      </c>
      <c r="J106">
        <v>479354</v>
      </c>
      <c r="K106">
        <v>3662876</v>
      </c>
      <c r="L106">
        <v>37.97</v>
      </c>
    </row>
    <row r="107" spans="1:12" x14ac:dyDescent="0.3">
      <c r="A107" t="s">
        <v>131</v>
      </c>
      <c r="B107">
        <v>2021</v>
      </c>
      <c r="C107" t="s">
        <v>134</v>
      </c>
      <c r="D107">
        <v>45</v>
      </c>
      <c r="E107">
        <v>4.1359999999999999E-3</v>
      </c>
      <c r="F107">
        <v>2.0469999999999999E-2</v>
      </c>
      <c r="G107">
        <v>2.5</v>
      </c>
      <c r="H107">
        <v>95277</v>
      </c>
      <c r="I107">
        <v>1950</v>
      </c>
      <c r="J107">
        <v>471509</v>
      </c>
      <c r="K107">
        <v>3183522</v>
      </c>
      <c r="L107">
        <v>33.409999999999997</v>
      </c>
    </row>
    <row r="108" spans="1:12" x14ac:dyDescent="0.3">
      <c r="A108" t="s">
        <v>131</v>
      </c>
      <c r="B108">
        <v>2021</v>
      </c>
      <c r="C108" t="s">
        <v>134</v>
      </c>
      <c r="D108">
        <v>50</v>
      </c>
      <c r="E108">
        <v>6.0400000000000002E-3</v>
      </c>
      <c r="F108">
        <v>2.9751E-2</v>
      </c>
      <c r="G108">
        <v>2.5</v>
      </c>
      <c r="H108">
        <v>93327</v>
      </c>
      <c r="I108">
        <v>2777</v>
      </c>
      <c r="J108">
        <v>459692</v>
      </c>
      <c r="K108">
        <v>2712013</v>
      </c>
      <c r="L108">
        <v>29.06</v>
      </c>
    </row>
    <row r="109" spans="1:12" x14ac:dyDescent="0.3">
      <c r="A109" t="s">
        <v>131</v>
      </c>
      <c r="B109">
        <v>2021</v>
      </c>
      <c r="C109" t="s">
        <v>134</v>
      </c>
      <c r="D109">
        <v>55</v>
      </c>
      <c r="E109">
        <v>1.0508E-2</v>
      </c>
      <c r="F109">
        <v>5.1193000000000002E-2</v>
      </c>
      <c r="G109">
        <v>2.5</v>
      </c>
      <c r="H109">
        <v>90550</v>
      </c>
      <c r="I109">
        <v>4636</v>
      </c>
      <c r="J109">
        <v>441162</v>
      </c>
      <c r="K109">
        <v>2252321</v>
      </c>
      <c r="L109">
        <v>24.87</v>
      </c>
    </row>
    <row r="110" spans="1:12" x14ac:dyDescent="0.3">
      <c r="A110" t="s">
        <v>131</v>
      </c>
      <c r="B110">
        <v>2021</v>
      </c>
      <c r="C110" t="s">
        <v>134</v>
      </c>
      <c r="D110">
        <v>60</v>
      </c>
      <c r="E110">
        <v>1.4947999999999999E-2</v>
      </c>
      <c r="F110">
        <v>7.2047E-2</v>
      </c>
      <c r="G110">
        <v>2.5</v>
      </c>
      <c r="H110">
        <v>85915</v>
      </c>
      <c r="I110">
        <v>6190</v>
      </c>
      <c r="J110">
        <v>414098</v>
      </c>
      <c r="K110">
        <v>1811160</v>
      </c>
      <c r="L110">
        <v>21.08</v>
      </c>
    </row>
    <row r="111" spans="1:12" x14ac:dyDescent="0.3">
      <c r="A111" t="s">
        <v>131</v>
      </c>
      <c r="B111">
        <v>2021</v>
      </c>
      <c r="C111" t="s">
        <v>134</v>
      </c>
      <c r="D111">
        <v>65</v>
      </c>
      <c r="E111">
        <v>2.1902000000000001E-2</v>
      </c>
      <c r="F111">
        <v>0.103826</v>
      </c>
      <c r="G111">
        <v>2.5</v>
      </c>
      <c r="H111">
        <v>79725</v>
      </c>
      <c r="I111">
        <v>8277</v>
      </c>
      <c r="J111">
        <v>377930</v>
      </c>
      <c r="K111">
        <v>1397061</v>
      </c>
      <c r="L111">
        <v>17.52</v>
      </c>
    </row>
    <row r="112" spans="1:12" x14ac:dyDescent="0.3">
      <c r="A112" t="s">
        <v>131</v>
      </c>
      <c r="B112">
        <v>2021</v>
      </c>
      <c r="C112" t="s">
        <v>134</v>
      </c>
      <c r="D112">
        <v>70</v>
      </c>
      <c r="E112">
        <v>3.2097000000000001E-2</v>
      </c>
      <c r="F112">
        <v>0.148563</v>
      </c>
      <c r="G112">
        <v>2.5</v>
      </c>
      <c r="H112">
        <v>71447</v>
      </c>
      <c r="I112">
        <v>10614</v>
      </c>
      <c r="J112">
        <v>330700</v>
      </c>
      <c r="K112">
        <v>1019132</v>
      </c>
      <c r="L112">
        <v>14.26</v>
      </c>
    </row>
    <row r="113" spans="1:12" x14ac:dyDescent="0.3">
      <c r="A113" t="s">
        <v>131</v>
      </c>
      <c r="B113">
        <v>2021</v>
      </c>
      <c r="C113" t="s">
        <v>134</v>
      </c>
      <c r="D113">
        <v>75</v>
      </c>
      <c r="E113">
        <v>4.7282999999999999E-2</v>
      </c>
      <c r="F113">
        <v>0.211421</v>
      </c>
      <c r="G113">
        <v>2.5</v>
      </c>
      <c r="H113">
        <v>60833</v>
      </c>
      <c r="I113">
        <v>12861</v>
      </c>
      <c r="J113">
        <v>272011</v>
      </c>
      <c r="K113">
        <v>688432</v>
      </c>
      <c r="L113">
        <v>11.32</v>
      </c>
    </row>
    <row r="114" spans="1:12" x14ac:dyDescent="0.3">
      <c r="A114" t="s">
        <v>131</v>
      </c>
      <c r="B114">
        <v>2021</v>
      </c>
      <c r="C114" t="s">
        <v>134</v>
      </c>
      <c r="D114">
        <v>80</v>
      </c>
      <c r="E114">
        <v>7.6134999999999994E-2</v>
      </c>
      <c r="F114">
        <v>0.319803</v>
      </c>
      <c r="G114">
        <v>2.5</v>
      </c>
      <c r="H114">
        <v>47971</v>
      </c>
      <c r="I114">
        <v>15341</v>
      </c>
      <c r="J114">
        <v>201504</v>
      </c>
      <c r="K114">
        <v>416421</v>
      </c>
      <c r="L114">
        <v>8.68</v>
      </c>
    </row>
    <row r="115" spans="1:12" x14ac:dyDescent="0.3">
      <c r="A115" t="s">
        <v>131</v>
      </c>
      <c r="B115">
        <v>2021</v>
      </c>
      <c r="C115" t="s">
        <v>134</v>
      </c>
      <c r="D115">
        <v>85</v>
      </c>
      <c r="E115">
        <v>0.15182599999999999</v>
      </c>
      <c r="F115">
        <v>1</v>
      </c>
      <c r="G115" t="s">
        <v>133</v>
      </c>
      <c r="H115">
        <v>32630</v>
      </c>
      <c r="I115">
        <v>32630</v>
      </c>
      <c r="J115">
        <v>214917</v>
      </c>
      <c r="K115">
        <v>214917</v>
      </c>
      <c r="L115">
        <v>6.59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A00F-1CAA-2348-B6FF-2FA43A51F02B}">
  <dimension ref="A1:D1331"/>
  <sheetViews>
    <sheetView workbookViewId="0">
      <selection sqref="A1:D639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x14ac:dyDescent="0.3">
      <c r="A2">
        <v>1990</v>
      </c>
      <c r="B2" t="s">
        <v>120</v>
      </c>
      <c r="C2">
        <v>0</v>
      </c>
      <c r="D2" t="s">
        <v>133</v>
      </c>
    </row>
    <row r="3" spans="1:4" x14ac:dyDescent="0.3">
      <c r="A3">
        <v>1990</v>
      </c>
      <c r="B3" t="s">
        <v>120</v>
      </c>
      <c r="C3">
        <v>1</v>
      </c>
      <c r="D3" t="s">
        <v>133</v>
      </c>
    </row>
    <row r="4" spans="1:4" x14ac:dyDescent="0.3">
      <c r="A4">
        <v>1990</v>
      </c>
      <c r="B4" t="s">
        <v>120</v>
      </c>
      <c r="C4">
        <v>5</v>
      </c>
      <c r="D4" t="s">
        <v>133</v>
      </c>
    </row>
    <row r="5" spans="1:4" x14ac:dyDescent="0.3">
      <c r="A5">
        <v>1990</v>
      </c>
      <c r="B5" t="s">
        <v>120</v>
      </c>
      <c r="C5">
        <v>10</v>
      </c>
      <c r="D5" t="s">
        <v>133</v>
      </c>
    </row>
    <row r="6" spans="1:4" x14ac:dyDescent="0.3">
      <c r="A6">
        <v>1990</v>
      </c>
      <c r="B6" t="s">
        <v>120</v>
      </c>
      <c r="C6">
        <v>15</v>
      </c>
      <c r="D6" t="s">
        <v>133</v>
      </c>
    </row>
    <row r="7" spans="1:4" x14ac:dyDescent="0.3">
      <c r="A7">
        <v>1990</v>
      </c>
      <c r="B7" t="s">
        <v>120</v>
      </c>
      <c r="C7">
        <v>20</v>
      </c>
      <c r="D7" t="s">
        <v>133</v>
      </c>
    </row>
    <row r="8" spans="1:4" x14ac:dyDescent="0.3">
      <c r="A8">
        <v>1990</v>
      </c>
      <c r="B8" t="s">
        <v>120</v>
      </c>
      <c r="C8">
        <v>25</v>
      </c>
      <c r="D8" t="s">
        <v>133</v>
      </c>
    </row>
    <row r="9" spans="1:4" x14ac:dyDescent="0.3">
      <c r="A9">
        <v>1990</v>
      </c>
      <c r="B9" t="s">
        <v>120</v>
      </c>
      <c r="C9">
        <v>30</v>
      </c>
      <c r="D9" t="s">
        <v>133</v>
      </c>
    </row>
    <row r="10" spans="1:4" x14ac:dyDescent="0.3">
      <c r="A10">
        <v>1990</v>
      </c>
      <c r="B10" t="s">
        <v>120</v>
      </c>
      <c r="C10">
        <v>35</v>
      </c>
      <c r="D10" t="s">
        <v>133</v>
      </c>
    </row>
    <row r="11" spans="1:4" x14ac:dyDescent="0.3">
      <c r="A11">
        <v>1990</v>
      </c>
      <c r="B11" t="s">
        <v>120</v>
      </c>
      <c r="C11">
        <v>40</v>
      </c>
      <c r="D11" t="s">
        <v>133</v>
      </c>
    </row>
    <row r="12" spans="1:4" x14ac:dyDescent="0.3">
      <c r="A12">
        <v>1990</v>
      </c>
      <c r="B12" t="s">
        <v>120</v>
      </c>
      <c r="C12">
        <v>45</v>
      </c>
      <c r="D12" t="s">
        <v>133</v>
      </c>
    </row>
    <row r="13" spans="1:4" x14ac:dyDescent="0.3">
      <c r="A13">
        <v>1990</v>
      </c>
      <c r="B13" t="s">
        <v>120</v>
      </c>
      <c r="C13">
        <v>50</v>
      </c>
      <c r="D13" t="s">
        <v>133</v>
      </c>
    </row>
    <row r="14" spans="1:4" x14ac:dyDescent="0.3">
      <c r="A14">
        <v>1990</v>
      </c>
      <c r="B14" t="s">
        <v>120</v>
      </c>
      <c r="C14">
        <v>55</v>
      </c>
      <c r="D14" t="s">
        <v>133</v>
      </c>
    </row>
    <row r="15" spans="1:4" x14ac:dyDescent="0.3">
      <c r="A15">
        <v>1990</v>
      </c>
      <c r="B15" t="s">
        <v>120</v>
      </c>
      <c r="C15">
        <v>60</v>
      </c>
      <c r="D15" t="s">
        <v>133</v>
      </c>
    </row>
    <row r="16" spans="1:4" x14ac:dyDescent="0.3">
      <c r="A16">
        <v>1990</v>
      </c>
      <c r="B16" t="s">
        <v>120</v>
      </c>
      <c r="C16">
        <v>65</v>
      </c>
      <c r="D16" t="s">
        <v>133</v>
      </c>
    </row>
    <row r="17" spans="1:4" x14ac:dyDescent="0.3">
      <c r="A17">
        <v>1990</v>
      </c>
      <c r="B17" t="s">
        <v>120</v>
      </c>
      <c r="C17">
        <v>70</v>
      </c>
      <c r="D17" t="s">
        <v>133</v>
      </c>
    </row>
    <row r="18" spans="1:4" x14ac:dyDescent="0.3">
      <c r="A18">
        <v>1990</v>
      </c>
      <c r="B18" t="s">
        <v>120</v>
      </c>
      <c r="C18">
        <v>75</v>
      </c>
      <c r="D18" t="s">
        <v>133</v>
      </c>
    </row>
    <row r="19" spans="1:4" x14ac:dyDescent="0.3">
      <c r="A19">
        <v>1990</v>
      </c>
      <c r="B19" t="s">
        <v>120</v>
      </c>
      <c r="C19">
        <v>80</v>
      </c>
      <c r="D19" t="s">
        <v>133</v>
      </c>
    </row>
    <row r="20" spans="1:4" x14ac:dyDescent="0.3">
      <c r="A20">
        <v>1990</v>
      </c>
      <c r="B20" t="s">
        <v>120</v>
      </c>
      <c r="C20">
        <v>85</v>
      </c>
      <c r="D20" t="s">
        <v>133</v>
      </c>
    </row>
    <row r="21" spans="1:4" x14ac:dyDescent="0.3">
      <c r="A21">
        <v>1991</v>
      </c>
      <c r="B21" t="s">
        <v>120</v>
      </c>
      <c r="C21">
        <v>0</v>
      </c>
      <c r="D21">
        <v>0</v>
      </c>
    </row>
    <row r="22" spans="1:4" x14ac:dyDescent="0.3">
      <c r="A22">
        <v>1991</v>
      </c>
      <c r="B22" t="s">
        <v>120</v>
      </c>
      <c r="C22">
        <v>5</v>
      </c>
      <c r="D22">
        <v>1.02857142857143</v>
      </c>
    </row>
    <row r="23" spans="1:4" x14ac:dyDescent="0.3">
      <c r="A23">
        <v>1991</v>
      </c>
      <c r="B23" t="s">
        <v>120</v>
      </c>
      <c r="C23">
        <v>10</v>
      </c>
      <c r="D23">
        <v>0</v>
      </c>
    </row>
    <row r="24" spans="1:4" x14ac:dyDescent="0.3">
      <c r="A24">
        <v>1991</v>
      </c>
      <c r="B24" t="s">
        <v>120</v>
      </c>
      <c r="C24">
        <v>15</v>
      </c>
      <c r="D24">
        <v>10.285714285714301</v>
      </c>
    </row>
    <row r="25" spans="1:4" x14ac:dyDescent="0.3">
      <c r="A25">
        <v>1991</v>
      </c>
      <c r="B25" t="s">
        <v>120</v>
      </c>
      <c r="C25">
        <v>20</v>
      </c>
      <c r="D25">
        <v>11.314285714285701</v>
      </c>
    </row>
    <row r="26" spans="1:4" x14ac:dyDescent="0.3">
      <c r="A26">
        <v>1991</v>
      </c>
      <c r="B26" t="s">
        <v>120</v>
      </c>
      <c r="C26">
        <v>25</v>
      </c>
      <c r="D26">
        <v>9.2571428571428598</v>
      </c>
    </row>
    <row r="27" spans="1:4" x14ac:dyDescent="0.3">
      <c r="A27">
        <v>1991</v>
      </c>
      <c r="B27" t="s">
        <v>120</v>
      </c>
      <c r="C27">
        <v>30</v>
      </c>
      <c r="D27">
        <v>11.314285714285701</v>
      </c>
    </row>
    <row r="28" spans="1:4" x14ac:dyDescent="0.3">
      <c r="A28">
        <v>1991</v>
      </c>
      <c r="B28" t="s">
        <v>120</v>
      </c>
      <c r="C28">
        <v>35</v>
      </c>
      <c r="D28">
        <v>4.1142857142857103</v>
      </c>
    </row>
    <row r="29" spans="1:4" x14ac:dyDescent="0.3">
      <c r="A29">
        <v>1991</v>
      </c>
      <c r="B29" t="s">
        <v>120</v>
      </c>
      <c r="C29">
        <v>40</v>
      </c>
      <c r="D29">
        <v>6.1714285714285699</v>
      </c>
    </row>
    <row r="30" spans="1:4" x14ac:dyDescent="0.3">
      <c r="A30">
        <v>1991</v>
      </c>
      <c r="B30" t="s">
        <v>120</v>
      </c>
      <c r="C30">
        <v>45</v>
      </c>
      <c r="D30">
        <v>9.2571428571428598</v>
      </c>
    </row>
    <row r="31" spans="1:4" x14ac:dyDescent="0.3">
      <c r="A31">
        <v>1991</v>
      </c>
      <c r="B31" t="s">
        <v>120</v>
      </c>
      <c r="C31">
        <v>50</v>
      </c>
      <c r="D31">
        <v>3.0857142857142899</v>
      </c>
    </row>
    <row r="32" spans="1:4" x14ac:dyDescent="0.3">
      <c r="A32">
        <v>1991</v>
      </c>
      <c r="B32" t="s">
        <v>120</v>
      </c>
      <c r="C32">
        <v>55</v>
      </c>
      <c r="D32">
        <v>2.05714285714286</v>
      </c>
    </row>
    <row r="33" spans="1:4" x14ac:dyDescent="0.3">
      <c r="A33">
        <v>1991</v>
      </c>
      <c r="B33" t="s">
        <v>120</v>
      </c>
      <c r="C33">
        <v>60</v>
      </c>
      <c r="D33">
        <v>1.02857142857143</v>
      </c>
    </row>
    <row r="34" spans="1:4" x14ac:dyDescent="0.3">
      <c r="A34">
        <v>1991</v>
      </c>
      <c r="B34" t="s">
        <v>120</v>
      </c>
      <c r="C34">
        <v>65</v>
      </c>
      <c r="D34">
        <v>2.05714285714286</v>
      </c>
    </row>
    <row r="35" spans="1:4" x14ac:dyDescent="0.3">
      <c r="A35">
        <v>1991</v>
      </c>
      <c r="B35" t="s">
        <v>120</v>
      </c>
      <c r="C35">
        <v>70</v>
      </c>
      <c r="D35">
        <v>1.02857142857143</v>
      </c>
    </row>
    <row r="36" spans="1:4" x14ac:dyDescent="0.3">
      <c r="A36">
        <v>1993</v>
      </c>
      <c r="B36" t="s">
        <v>120</v>
      </c>
      <c r="C36">
        <v>0</v>
      </c>
      <c r="D36" t="s">
        <v>133</v>
      </c>
    </row>
    <row r="37" spans="1:4" x14ac:dyDescent="0.3">
      <c r="A37">
        <v>1993</v>
      </c>
      <c r="B37" t="s">
        <v>120</v>
      </c>
      <c r="C37">
        <v>1</v>
      </c>
      <c r="D37" t="s">
        <v>133</v>
      </c>
    </row>
    <row r="38" spans="1:4" x14ac:dyDescent="0.3">
      <c r="A38">
        <v>1993</v>
      </c>
      <c r="B38" t="s">
        <v>120</v>
      </c>
      <c r="C38">
        <v>5</v>
      </c>
      <c r="D38" t="s">
        <v>133</v>
      </c>
    </row>
    <row r="39" spans="1:4" x14ac:dyDescent="0.3">
      <c r="A39">
        <v>1993</v>
      </c>
      <c r="B39" t="s">
        <v>120</v>
      </c>
      <c r="C39">
        <v>10</v>
      </c>
      <c r="D39" t="s">
        <v>133</v>
      </c>
    </row>
    <row r="40" spans="1:4" x14ac:dyDescent="0.3">
      <c r="A40">
        <v>1993</v>
      </c>
      <c r="B40" t="s">
        <v>120</v>
      </c>
      <c r="C40">
        <v>15</v>
      </c>
      <c r="D40" t="s">
        <v>133</v>
      </c>
    </row>
    <row r="41" spans="1:4" x14ac:dyDescent="0.3">
      <c r="A41">
        <v>1993</v>
      </c>
      <c r="B41" t="s">
        <v>120</v>
      </c>
      <c r="C41">
        <v>20</v>
      </c>
      <c r="D41" t="s">
        <v>133</v>
      </c>
    </row>
    <row r="42" spans="1:4" x14ac:dyDescent="0.3">
      <c r="A42">
        <v>1993</v>
      </c>
      <c r="B42" t="s">
        <v>120</v>
      </c>
      <c r="C42">
        <v>25</v>
      </c>
      <c r="D42" t="s">
        <v>133</v>
      </c>
    </row>
    <row r="43" spans="1:4" x14ac:dyDescent="0.3">
      <c r="A43">
        <v>1993</v>
      </c>
      <c r="B43" t="s">
        <v>120</v>
      </c>
      <c r="C43">
        <v>30</v>
      </c>
      <c r="D43" t="s">
        <v>133</v>
      </c>
    </row>
    <row r="44" spans="1:4" x14ac:dyDescent="0.3">
      <c r="A44">
        <v>1993</v>
      </c>
      <c r="B44" t="s">
        <v>120</v>
      </c>
      <c r="C44">
        <v>35</v>
      </c>
      <c r="D44" t="s">
        <v>133</v>
      </c>
    </row>
    <row r="45" spans="1:4" x14ac:dyDescent="0.3">
      <c r="A45">
        <v>1993</v>
      </c>
      <c r="B45" t="s">
        <v>120</v>
      </c>
      <c r="C45">
        <v>40</v>
      </c>
      <c r="D45" t="s">
        <v>133</v>
      </c>
    </row>
    <row r="46" spans="1:4" x14ac:dyDescent="0.3">
      <c r="A46">
        <v>1993</v>
      </c>
      <c r="B46" t="s">
        <v>120</v>
      </c>
      <c r="C46">
        <v>45</v>
      </c>
      <c r="D46" t="s">
        <v>133</v>
      </c>
    </row>
    <row r="47" spans="1:4" x14ac:dyDescent="0.3">
      <c r="A47">
        <v>1993</v>
      </c>
      <c r="B47" t="s">
        <v>120</v>
      </c>
      <c r="C47">
        <v>50</v>
      </c>
      <c r="D47" t="s">
        <v>133</v>
      </c>
    </row>
    <row r="48" spans="1:4" x14ac:dyDescent="0.3">
      <c r="A48">
        <v>1993</v>
      </c>
      <c r="B48" t="s">
        <v>120</v>
      </c>
      <c r="C48">
        <v>55</v>
      </c>
      <c r="D48" t="s">
        <v>133</v>
      </c>
    </row>
    <row r="49" spans="1:4" x14ac:dyDescent="0.3">
      <c r="A49">
        <v>1993</v>
      </c>
      <c r="B49" t="s">
        <v>120</v>
      </c>
      <c r="C49">
        <v>60</v>
      </c>
      <c r="D49" t="s">
        <v>133</v>
      </c>
    </row>
    <row r="50" spans="1:4" x14ac:dyDescent="0.3">
      <c r="A50">
        <v>1993</v>
      </c>
      <c r="B50" t="s">
        <v>120</v>
      </c>
      <c r="C50">
        <v>65</v>
      </c>
      <c r="D50" t="s">
        <v>133</v>
      </c>
    </row>
    <row r="51" spans="1:4" x14ac:dyDescent="0.3">
      <c r="A51">
        <v>1993</v>
      </c>
      <c r="B51" t="s">
        <v>120</v>
      </c>
      <c r="C51">
        <v>70</v>
      </c>
      <c r="D51" t="s">
        <v>133</v>
      </c>
    </row>
    <row r="52" spans="1:4" x14ac:dyDescent="0.3">
      <c r="A52">
        <v>1996</v>
      </c>
      <c r="B52" t="s">
        <v>120</v>
      </c>
      <c r="C52">
        <v>0</v>
      </c>
      <c r="D52">
        <v>1.0219780219780199</v>
      </c>
    </row>
    <row r="53" spans="1:4" x14ac:dyDescent="0.3">
      <c r="A53">
        <v>1996</v>
      </c>
      <c r="B53" t="s">
        <v>120</v>
      </c>
      <c r="C53">
        <v>1</v>
      </c>
      <c r="D53">
        <v>0</v>
      </c>
    </row>
    <row r="54" spans="1:4" x14ac:dyDescent="0.3">
      <c r="A54">
        <v>1996</v>
      </c>
      <c r="B54" t="s">
        <v>120</v>
      </c>
      <c r="C54">
        <v>5</v>
      </c>
      <c r="D54">
        <v>2.0439560439560398</v>
      </c>
    </row>
    <row r="55" spans="1:4" x14ac:dyDescent="0.3">
      <c r="A55">
        <v>1996</v>
      </c>
      <c r="B55" t="s">
        <v>120</v>
      </c>
      <c r="C55">
        <v>10</v>
      </c>
      <c r="D55">
        <v>1.0219780219780199</v>
      </c>
    </row>
    <row r="56" spans="1:4" x14ac:dyDescent="0.3">
      <c r="A56">
        <v>1996</v>
      </c>
      <c r="B56" t="s">
        <v>120</v>
      </c>
      <c r="C56">
        <v>15</v>
      </c>
      <c r="D56">
        <v>8.1758241758241805</v>
      </c>
    </row>
    <row r="57" spans="1:4" x14ac:dyDescent="0.3">
      <c r="A57">
        <v>1996</v>
      </c>
      <c r="B57" t="s">
        <v>120</v>
      </c>
      <c r="C57">
        <v>20</v>
      </c>
      <c r="D57">
        <v>17.373626373626401</v>
      </c>
    </row>
    <row r="58" spans="1:4" x14ac:dyDescent="0.3">
      <c r="A58">
        <v>1996</v>
      </c>
      <c r="B58" t="s">
        <v>120</v>
      </c>
      <c r="C58">
        <v>25</v>
      </c>
      <c r="D58">
        <v>11.2417582417582</v>
      </c>
    </row>
    <row r="59" spans="1:4" x14ac:dyDescent="0.3">
      <c r="A59">
        <v>1996</v>
      </c>
      <c r="B59" t="s">
        <v>120</v>
      </c>
      <c r="C59">
        <v>30</v>
      </c>
      <c r="D59">
        <v>11.2417582417582</v>
      </c>
    </row>
    <row r="60" spans="1:4" x14ac:dyDescent="0.3">
      <c r="A60">
        <v>1996</v>
      </c>
      <c r="B60" t="s">
        <v>120</v>
      </c>
      <c r="C60">
        <v>35</v>
      </c>
      <c r="D60">
        <v>7.1538461538461497</v>
      </c>
    </row>
    <row r="61" spans="1:4" x14ac:dyDescent="0.3">
      <c r="A61">
        <v>1996</v>
      </c>
      <c r="B61" t="s">
        <v>120</v>
      </c>
      <c r="C61">
        <v>40</v>
      </c>
      <c r="D61">
        <v>10.219780219780199</v>
      </c>
    </row>
    <row r="62" spans="1:4" x14ac:dyDescent="0.3">
      <c r="A62">
        <v>1996</v>
      </c>
      <c r="B62" t="s">
        <v>120</v>
      </c>
      <c r="C62">
        <v>45</v>
      </c>
      <c r="D62">
        <v>10.219780219780199</v>
      </c>
    </row>
    <row r="63" spans="1:4" x14ac:dyDescent="0.3">
      <c r="A63">
        <v>1996</v>
      </c>
      <c r="B63" t="s">
        <v>120</v>
      </c>
      <c r="C63">
        <v>50</v>
      </c>
      <c r="D63">
        <v>4.0879120879120903</v>
      </c>
    </row>
    <row r="64" spans="1:4" x14ac:dyDescent="0.3">
      <c r="A64">
        <v>1996</v>
      </c>
      <c r="B64" t="s">
        <v>120</v>
      </c>
      <c r="C64">
        <v>55</v>
      </c>
      <c r="D64">
        <v>4.0879120879120903</v>
      </c>
    </row>
    <row r="65" spans="1:4" x14ac:dyDescent="0.3">
      <c r="A65">
        <v>1996</v>
      </c>
      <c r="B65" t="s">
        <v>120</v>
      </c>
      <c r="C65">
        <v>60</v>
      </c>
      <c r="D65">
        <v>2.0439560439560398</v>
      </c>
    </row>
    <row r="66" spans="1:4" x14ac:dyDescent="0.3">
      <c r="A66">
        <v>1996</v>
      </c>
      <c r="B66" t="s">
        <v>120</v>
      </c>
      <c r="C66">
        <v>65</v>
      </c>
      <c r="D66">
        <v>2.0439560439560398</v>
      </c>
    </row>
    <row r="67" spans="1:4" x14ac:dyDescent="0.3">
      <c r="A67">
        <v>1996</v>
      </c>
      <c r="B67" t="s">
        <v>120</v>
      </c>
      <c r="C67">
        <v>70</v>
      </c>
      <c r="D67">
        <v>1.0219780219780199</v>
      </c>
    </row>
    <row r="68" spans="1:4" x14ac:dyDescent="0.3">
      <c r="A68">
        <v>1996</v>
      </c>
      <c r="B68" t="s">
        <v>120</v>
      </c>
      <c r="C68">
        <v>75</v>
      </c>
      <c r="D68">
        <v>0</v>
      </c>
    </row>
    <row r="69" spans="1:4" x14ac:dyDescent="0.3">
      <c r="A69">
        <v>1997</v>
      </c>
      <c r="B69" t="s">
        <v>120</v>
      </c>
      <c r="C69">
        <v>5</v>
      </c>
      <c r="D69">
        <v>0</v>
      </c>
    </row>
    <row r="70" spans="1:4" x14ac:dyDescent="0.3">
      <c r="A70">
        <v>1997</v>
      </c>
      <c r="B70" t="s">
        <v>120</v>
      </c>
      <c r="C70">
        <v>10</v>
      </c>
      <c r="D70">
        <v>2.0253164556962</v>
      </c>
    </row>
    <row r="71" spans="1:4" x14ac:dyDescent="0.3">
      <c r="A71">
        <v>1997</v>
      </c>
      <c r="B71" t="s">
        <v>120</v>
      </c>
      <c r="C71">
        <v>15</v>
      </c>
      <c r="D71">
        <v>9.1139240506329102</v>
      </c>
    </row>
    <row r="72" spans="1:4" x14ac:dyDescent="0.3">
      <c r="A72">
        <v>1997</v>
      </c>
      <c r="B72" t="s">
        <v>120</v>
      </c>
      <c r="C72">
        <v>20</v>
      </c>
      <c r="D72">
        <v>23.2911392405063</v>
      </c>
    </row>
    <row r="73" spans="1:4" x14ac:dyDescent="0.3">
      <c r="A73">
        <v>1997</v>
      </c>
      <c r="B73" t="s">
        <v>120</v>
      </c>
      <c r="C73">
        <v>25</v>
      </c>
      <c r="D73">
        <v>13.1645569620253</v>
      </c>
    </row>
    <row r="74" spans="1:4" x14ac:dyDescent="0.3">
      <c r="A74">
        <v>1997</v>
      </c>
      <c r="B74" t="s">
        <v>120</v>
      </c>
      <c r="C74">
        <v>30</v>
      </c>
      <c r="D74">
        <v>5.0632911392405102</v>
      </c>
    </row>
    <row r="75" spans="1:4" x14ac:dyDescent="0.3">
      <c r="A75">
        <v>1997</v>
      </c>
      <c r="B75" t="s">
        <v>120</v>
      </c>
      <c r="C75">
        <v>35</v>
      </c>
      <c r="D75">
        <v>5.0632911392405102</v>
      </c>
    </row>
    <row r="76" spans="1:4" x14ac:dyDescent="0.3">
      <c r="A76">
        <v>1997</v>
      </c>
      <c r="B76" t="s">
        <v>120</v>
      </c>
      <c r="C76">
        <v>40</v>
      </c>
      <c r="D76">
        <v>5.0632911392405102</v>
      </c>
    </row>
    <row r="77" spans="1:4" x14ac:dyDescent="0.3">
      <c r="A77">
        <v>1997</v>
      </c>
      <c r="B77" t="s">
        <v>120</v>
      </c>
      <c r="C77">
        <v>45</v>
      </c>
      <c r="D77">
        <v>3.0379746835443</v>
      </c>
    </row>
    <row r="78" spans="1:4" x14ac:dyDescent="0.3">
      <c r="A78">
        <v>1997</v>
      </c>
      <c r="B78" t="s">
        <v>120</v>
      </c>
      <c r="C78">
        <v>50</v>
      </c>
      <c r="D78">
        <v>5.0632911392405102</v>
      </c>
    </row>
    <row r="79" spans="1:4" x14ac:dyDescent="0.3">
      <c r="A79">
        <v>1997</v>
      </c>
      <c r="B79" t="s">
        <v>120</v>
      </c>
      <c r="C79">
        <v>55</v>
      </c>
      <c r="D79">
        <v>2.0253164556962</v>
      </c>
    </row>
    <row r="80" spans="1:4" x14ac:dyDescent="0.3">
      <c r="A80">
        <v>1997</v>
      </c>
      <c r="B80" t="s">
        <v>120</v>
      </c>
      <c r="C80">
        <v>60</v>
      </c>
      <c r="D80">
        <v>2.0253164556962</v>
      </c>
    </row>
    <row r="81" spans="1:4" x14ac:dyDescent="0.3">
      <c r="A81">
        <v>1997</v>
      </c>
      <c r="B81" t="s">
        <v>120</v>
      </c>
      <c r="C81">
        <v>65</v>
      </c>
      <c r="D81">
        <v>3.0379746835443</v>
      </c>
    </row>
    <row r="82" spans="1:4" x14ac:dyDescent="0.3">
      <c r="A82">
        <v>1997</v>
      </c>
      <c r="B82" t="s">
        <v>120</v>
      </c>
      <c r="C82">
        <v>70</v>
      </c>
      <c r="D82">
        <v>2.0253164556962</v>
      </c>
    </row>
    <row r="83" spans="1:4" x14ac:dyDescent="0.3">
      <c r="A83">
        <v>1997</v>
      </c>
      <c r="B83" t="s">
        <v>120</v>
      </c>
      <c r="C83">
        <v>85</v>
      </c>
      <c r="D83">
        <v>0</v>
      </c>
    </row>
    <row r="84" spans="1:4" x14ac:dyDescent="0.3">
      <c r="A84">
        <v>1998</v>
      </c>
      <c r="B84" t="s">
        <v>120</v>
      </c>
      <c r="C84">
        <v>0</v>
      </c>
      <c r="D84">
        <v>1.0249999999999999</v>
      </c>
    </row>
    <row r="85" spans="1:4" x14ac:dyDescent="0.3">
      <c r="A85">
        <v>1998</v>
      </c>
      <c r="B85" t="s">
        <v>120</v>
      </c>
      <c r="C85">
        <v>15</v>
      </c>
      <c r="D85">
        <v>9.2249999999999996</v>
      </c>
    </row>
    <row r="86" spans="1:4" x14ac:dyDescent="0.3">
      <c r="A86">
        <v>1998</v>
      </c>
      <c r="B86" t="s">
        <v>120</v>
      </c>
      <c r="C86">
        <v>20</v>
      </c>
      <c r="D86">
        <v>16.399999999999999</v>
      </c>
    </row>
    <row r="87" spans="1:4" x14ac:dyDescent="0.3">
      <c r="A87">
        <v>1998</v>
      </c>
      <c r="B87" t="s">
        <v>120</v>
      </c>
      <c r="C87">
        <v>25</v>
      </c>
      <c r="D87">
        <v>14.35</v>
      </c>
    </row>
    <row r="88" spans="1:4" x14ac:dyDescent="0.3">
      <c r="A88">
        <v>1998</v>
      </c>
      <c r="B88" t="s">
        <v>120</v>
      </c>
      <c r="C88">
        <v>30</v>
      </c>
      <c r="D88">
        <v>7.1749999999999998</v>
      </c>
    </row>
    <row r="89" spans="1:4" x14ac:dyDescent="0.3">
      <c r="A89">
        <v>1998</v>
      </c>
      <c r="B89" t="s">
        <v>120</v>
      </c>
      <c r="C89">
        <v>35</v>
      </c>
      <c r="D89">
        <v>9.2249999999999996</v>
      </c>
    </row>
    <row r="90" spans="1:4" x14ac:dyDescent="0.3">
      <c r="A90">
        <v>1998</v>
      </c>
      <c r="B90" t="s">
        <v>120</v>
      </c>
      <c r="C90">
        <v>40</v>
      </c>
      <c r="D90">
        <v>7.1749999999999998</v>
      </c>
    </row>
    <row r="91" spans="1:4" x14ac:dyDescent="0.3">
      <c r="A91">
        <v>1998</v>
      </c>
      <c r="B91" t="s">
        <v>120</v>
      </c>
      <c r="C91">
        <v>45</v>
      </c>
      <c r="D91">
        <v>2.0499999999999998</v>
      </c>
    </row>
    <row r="92" spans="1:4" x14ac:dyDescent="0.3">
      <c r="A92">
        <v>1998</v>
      </c>
      <c r="B92" t="s">
        <v>120</v>
      </c>
      <c r="C92">
        <v>50</v>
      </c>
      <c r="D92">
        <v>4.0999999999999996</v>
      </c>
    </row>
    <row r="93" spans="1:4" x14ac:dyDescent="0.3">
      <c r="A93">
        <v>1998</v>
      </c>
      <c r="B93" t="s">
        <v>120</v>
      </c>
      <c r="C93">
        <v>55</v>
      </c>
      <c r="D93">
        <v>4.0999999999999996</v>
      </c>
    </row>
    <row r="94" spans="1:4" x14ac:dyDescent="0.3">
      <c r="A94">
        <v>1998</v>
      </c>
      <c r="B94" t="s">
        <v>120</v>
      </c>
      <c r="C94">
        <v>60</v>
      </c>
      <c r="D94">
        <v>3.0750000000000002</v>
      </c>
    </row>
    <row r="95" spans="1:4" x14ac:dyDescent="0.3">
      <c r="A95">
        <v>1998</v>
      </c>
      <c r="B95" t="s">
        <v>120</v>
      </c>
      <c r="C95">
        <v>65</v>
      </c>
      <c r="D95">
        <v>2.0499999999999998</v>
      </c>
    </row>
    <row r="96" spans="1:4" x14ac:dyDescent="0.3">
      <c r="A96">
        <v>1998</v>
      </c>
      <c r="B96" t="s">
        <v>120</v>
      </c>
      <c r="C96">
        <v>70</v>
      </c>
      <c r="D96">
        <v>2.0499999999999998</v>
      </c>
    </row>
    <row r="97" spans="1:4" x14ac:dyDescent="0.3">
      <c r="A97">
        <v>1998</v>
      </c>
      <c r="B97" t="s">
        <v>120</v>
      </c>
      <c r="C97">
        <v>80</v>
      </c>
      <c r="D97">
        <v>0</v>
      </c>
    </row>
    <row r="98" spans="1:4" x14ac:dyDescent="0.3">
      <c r="A98">
        <v>1999</v>
      </c>
      <c r="B98" t="s">
        <v>120</v>
      </c>
      <c r="C98">
        <v>0</v>
      </c>
      <c r="D98">
        <v>1.0125</v>
      </c>
    </row>
    <row r="99" spans="1:4" x14ac:dyDescent="0.3">
      <c r="A99">
        <v>1999</v>
      </c>
      <c r="B99" t="s">
        <v>120</v>
      </c>
      <c r="C99">
        <v>1</v>
      </c>
      <c r="D99">
        <v>1.0125</v>
      </c>
    </row>
    <row r="100" spans="1:4" x14ac:dyDescent="0.3">
      <c r="A100">
        <v>1999</v>
      </c>
      <c r="B100" t="s">
        <v>120</v>
      </c>
      <c r="C100">
        <v>5</v>
      </c>
      <c r="D100">
        <v>0</v>
      </c>
    </row>
    <row r="101" spans="1:4" x14ac:dyDescent="0.3">
      <c r="A101">
        <v>1999</v>
      </c>
      <c r="B101" t="s">
        <v>120</v>
      </c>
      <c r="C101">
        <v>10</v>
      </c>
      <c r="D101">
        <v>3.0375000000000001</v>
      </c>
    </row>
    <row r="102" spans="1:4" x14ac:dyDescent="0.3">
      <c r="A102">
        <v>1999</v>
      </c>
      <c r="B102" t="s">
        <v>120</v>
      </c>
      <c r="C102">
        <v>15</v>
      </c>
      <c r="D102">
        <v>7.0875000000000004</v>
      </c>
    </row>
    <row r="103" spans="1:4" x14ac:dyDescent="0.3">
      <c r="A103">
        <v>1999</v>
      </c>
      <c r="B103" t="s">
        <v>120</v>
      </c>
      <c r="C103">
        <v>20</v>
      </c>
      <c r="D103">
        <v>13.1625</v>
      </c>
    </row>
    <row r="104" spans="1:4" x14ac:dyDescent="0.3">
      <c r="A104">
        <v>1999</v>
      </c>
      <c r="B104" t="s">
        <v>120</v>
      </c>
      <c r="C104">
        <v>25</v>
      </c>
      <c r="D104">
        <v>8.1</v>
      </c>
    </row>
    <row r="105" spans="1:4" x14ac:dyDescent="0.3">
      <c r="A105">
        <v>1999</v>
      </c>
      <c r="B105" t="s">
        <v>120</v>
      </c>
      <c r="C105">
        <v>30</v>
      </c>
      <c r="D105">
        <v>8.1</v>
      </c>
    </row>
    <row r="106" spans="1:4" x14ac:dyDescent="0.3">
      <c r="A106">
        <v>1999</v>
      </c>
      <c r="B106" t="s">
        <v>120</v>
      </c>
      <c r="C106">
        <v>35</v>
      </c>
      <c r="D106">
        <v>13.1625</v>
      </c>
    </row>
    <row r="107" spans="1:4" x14ac:dyDescent="0.3">
      <c r="A107">
        <v>1999</v>
      </c>
      <c r="B107" t="s">
        <v>120</v>
      </c>
      <c r="C107">
        <v>40</v>
      </c>
      <c r="D107">
        <v>9.1125000000000007</v>
      </c>
    </row>
    <row r="108" spans="1:4" x14ac:dyDescent="0.3">
      <c r="A108">
        <v>1999</v>
      </c>
      <c r="B108" t="s">
        <v>120</v>
      </c>
      <c r="C108">
        <v>45</v>
      </c>
      <c r="D108">
        <v>4.05</v>
      </c>
    </row>
    <row r="109" spans="1:4" x14ac:dyDescent="0.3">
      <c r="A109">
        <v>1999</v>
      </c>
      <c r="B109" t="s">
        <v>120</v>
      </c>
      <c r="C109">
        <v>50</v>
      </c>
      <c r="D109">
        <v>2.0249999999999999</v>
      </c>
    </row>
    <row r="110" spans="1:4" x14ac:dyDescent="0.3">
      <c r="A110">
        <v>1999</v>
      </c>
      <c r="B110" t="s">
        <v>120</v>
      </c>
      <c r="C110">
        <v>55</v>
      </c>
      <c r="D110">
        <v>2.0249999999999999</v>
      </c>
    </row>
    <row r="111" spans="1:4" x14ac:dyDescent="0.3">
      <c r="A111">
        <v>1999</v>
      </c>
      <c r="B111" t="s">
        <v>120</v>
      </c>
      <c r="C111">
        <v>60</v>
      </c>
      <c r="D111">
        <v>3.0375000000000001</v>
      </c>
    </row>
    <row r="112" spans="1:4" x14ac:dyDescent="0.3">
      <c r="A112">
        <v>1999</v>
      </c>
      <c r="B112" t="s">
        <v>120</v>
      </c>
      <c r="C112">
        <v>65</v>
      </c>
      <c r="D112">
        <v>1.0125</v>
      </c>
    </row>
    <row r="113" spans="1:4" x14ac:dyDescent="0.3">
      <c r="A113">
        <v>1999</v>
      </c>
      <c r="B113" t="s">
        <v>120</v>
      </c>
      <c r="C113">
        <v>70</v>
      </c>
      <c r="D113">
        <v>3.0375000000000001</v>
      </c>
    </row>
    <row r="114" spans="1:4" x14ac:dyDescent="0.3">
      <c r="A114">
        <v>1999</v>
      </c>
      <c r="B114" t="s">
        <v>120</v>
      </c>
      <c r="C114">
        <v>85</v>
      </c>
      <c r="D114">
        <v>2.0249999999999999</v>
      </c>
    </row>
    <row r="115" spans="1:4" x14ac:dyDescent="0.3">
      <c r="A115">
        <v>2000</v>
      </c>
      <c r="B115" t="s">
        <v>120</v>
      </c>
      <c r="C115">
        <v>0</v>
      </c>
      <c r="D115">
        <v>2.1219512195122001</v>
      </c>
    </row>
    <row r="116" spans="1:4" x14ac:dyDescent="0.3">
      <c r="A116">
        <v>2000</v>
      </c>
      <c r="B116" t="s">
        <v>120</v>
      </c>
      <c r="C116">
        <v>10</v>
      </c>
      <c r="D116">
        <v>3.1829268292682902</v>
      </c>
    </row>
    <row r="117" spans="1:4" x14ac:dyDescent="0.3">
      <c r="A117">
        <v>2000</v>
      </c>
      <c r="B117" t="s">
        <v>120</v>
      </c>
      <c r="C117">
        <v>15</v>
      </c>
      <c r="D117">
        <v>6.3658536585365901</v>
      </c>
    </row>
    <row r="118" spans="1:4" x14ac:dyDescent="0.3">
      <c r="A118">
        <v>2000</v>
      </c>
      <c r="B118" t="s">
        <v>120</v>
      </c>
      <c r="C118">
        <v>20</v>
      </c>
      <c r="D118">
        <v>18.0365853658537</v>
      </c>
    </row>
    <row r="119" spans="1:4" x14ac:dyDescent="0.3">
      <c r="A119">
        <v>2000</v>
      </c>
      <c r="B119" t="s">
        <v>120</v>
      </c>
      <c r="C119">
        <v>25</v>
      </c>
      <c r="D119">
        <v>8.4878048780487791</v>
      </c>
    </row>
    <row r="120" spans="1:4" x14ac:dyDescent="0.3">
      <c r="A120">
        <v>2000</v>
      </c>
      <c r="B120" t="s">
        <v>120</v>
      </c>
      <c r="C120">
        <v>30</v>
      </c>
      <c r="D120">
        <v>5.3048780487804903</v>
      </c>
    </row>
    <row r="121" spans="1:4" x14ac:dyDescent="0.3">
      <c r="A121">
        <v>2000</v>
      </c>
      <c r="B121" t="s">
        <v>120</v>
      </c>
      <c r="C121">
        <v>35</v>
      </c>
      <c r="D121">
        <v>9.5487804878048799</v>
      </c>
    </row>
    <row r="122" spans="1:4" x14ac:dyDescent="0.3">
      <c r="A122">
        <v>2000</v>
      </c>
      <c r="B122" t="s">
        <v>120</v>
      </c>
      <c r="C122">
        <v>40</v>
      </c>
      <c r="D122">
        <v>3.1829268292682902</v>
      </c>
    </row>
    <row r="123" spans="1:4" x14ac:dyDescent="0.3">
      <c r="A123">
        <v>2000</v>
      </c>
      <c r="B123" t="s">
        <v>120</v>
      </c>
      <c r="C123">
        <v>45</v>
      </c>
      <c r="D123">
        <v>11.670731707317101</v>
      </c>
    </row>
    <row r="124" spans="1:4" x14ac:dyDescent="0.3">
      <c r="A124">
        <v>2000</v>
      </c>
      <c r="B124" t="s">
        <v>120</v>
      </c>
      <c r="C124">
        <v>50</v>
      </c>
      <c r="D124">
        <v>1.0609756097561001</v>
      </c>
    </row>
    <row r="125" spans="1:4" x14ac:dyDescent="0.3">
      <c r="A125">
        <v>2000</v>
      </c>
      <c r="B125" t="s">
        <v>120</v>
      </c>
      <c r="C125">
        <v>55</v>
      </c>
      <c r="D125">
        <v>4.2439024390243896</v>
      </c>
    </row>
    <row r="126" spans="1:4" x14ac:dyDescent="0.3">
      <c r="A126">
        <v>2000</v>
      </c>
      <c r="B126" t="s">
        <v>120</v>
      </c>
      <c r="C126">
        <v>60</v>
      </c>
      <c r="D126">
        <v>4.2439024390243896</v>
      </c>
    </row>
    <row r="127" spans="1:4" x14ac:dyDescent="0.3">
      <c r="A127">
        <v>2000</v>
      </c>
      <c r="B127" t="s">
        <v>120</v>
      </c>
      <c r="C127">
        <v>65</v>
      </c>
      <c r="D127">
        <v>3.1829268292682902</v>
      </c>
    </row>
    <row r="128" spans="1:4" x14ac:dyDescent="0.3">
      <c r="A128">
        <v>2000</v>
      </c>
      <c r="B128" t="s">
        <v>120</v>
      </c>
      <c r="C128">
        <v>70</v>
      </c>
      <c r="D128">
        <v>1.0609756097561001</v>
      </c>
    </row>
    <row r="129" spans="1:4" x14ac:dyDescent="0.3">
      <c r="A129">
        <v>2000</v>
      </c>
      <c r="B129" t="s">
        <v>120</v>
      </c>
      <c r="C129">
        <v>75</v>
      </c>
      <c r="D129">
        <v>4.2439024390243896</v>
      </c>
    </row>
    <row r="130" spans="1:4" x14ac:dyDescent="0.3">
      <c r="A130">
        <v>2000</v>
      </c>
      <c r="B130" t="s">
        <v>120</v>
      </c>
      <c r="C130">
        <v>80</v>
      </c>
      <c r="D130">
        <v>1.0609756097561001</v>
      </c>
    </row>
    <row r="131" spans="1:4" x14ac:dyDescent="0.3">
      <c r="A131">
        <v>2000</v>
      </c>
      <c r="B131" t="s">
        <v>120</v>
      </c>
      <c r="C131">
        <v>85</v>
      </c>
      <c r="D131">
        <v>0</v>
      </c>
    </row>
    <row r="132" spans="1:4" x14ac:dyDescent="0.3">
      <c r="A132">
        <v>2007</v>
      </c>
      <c r="B132" t="s">
        <v>120</v>
      </c>
      <c r="C132">
        <v>0</v>
      </c>
      <c r="D132">
        <v>1.0454545454545501</v>
      </c>
    </row>
    <row r="133" spans="1:4" x14ac:dyDescent="0.3">
      <c r="A133">
        <v>2007</v>
      </c>
      <c r="B133" t="s">
        <v>120</v>
      </c>
      <c r="C133">
        <v>10</v>
      </c>
      <c r="D133">
        <v>1.0454545454545501</v>
      </c>
    </row>
    <row r="134" spans="1:4" x14ac:dyDescent="0.3">
      <c r="A134">
        <v>2007</v>
      </c>
      <c r="B134" t="s">
        <v>120</v>
      </c>
      <c r="C134">
        <v>15</v>
      </c>
      <c r="D134">
        <v>4.1818181818181799</v>
      </c>
    </row>
    <row r="135" spans="1:4" x14ac:dyDescent="0.3">
      <c r="A135">
        <v>2007</v>
      </c>
      <c r="B135" t="s">
        <v>120</v>
      </c>
      <c r="C135">
        <v>20</v>
      </c>
      <c r="D135">
        <v>7.3181818181818201</v>
      </c>
    </row>
    <row r="136" spans="1:4" x14ac:dyDescent="0.3">
      <c r="A136">
        <v>2007</v>
      </c>
      <c r="B136" t="s">
        <v>120</v>
      </c>
      <c r="C136">
        <v>25</v>
      </c>
      <c r="D136">
        <v>5.2272727272727302</v>
      </c>
    </row>
    <row r="137" spans="1:4" x14ac:dyDescent="0.3">
      <c r="A137">
        <v>2007</v>
      </c>
      <c r="B137" t="s">
        <v>120</v>
      </c>
      <c r="C137">
        <v>30</v>
      </c>
      <c r="D137">
        <v>2.0909090909090899</v>
      </c>
    </row>
    <row r="138" spans="1:4" x14ac:dyDescent="0.3">
      <c r="A138">
        <v>2007</v>
      </c>
      <c r="B138" t="s">
        <v>120</v>
      </c>
      <c r="C138">
        <v>35</v>
      </c>
      <c r="D138">
        <v>6.2727272727272698</v>
      </c>
    </row>
    <row r="139" spans="1:4" x14ac:dyDescent="0.3">
      <c r="A139">
        <v>2007</v>
      </c>
      <c r="B139" t="s">
        <v>120</v>
      </c>
      <c r="C139">
        <v>40</v>
      </c>
      <c r="D139">
        <v>2.0909090909090899</v>
      </c>
    </row>
    <row r="140" spans="1:4" x14ac:dyDescent="0.3">
      <c r="A140">
        <v>2007</v>
      </c>
      <c r="B140" t="s">
        <v>120</v>
      </c>
      <c r="C140">
        <v>45</v>
      </c>
      <c r="D140">
        <v>1.0454545454545501</v>
      </c>
    </row>
    <row r="141" spans="1:4" x14ac:dyDescent="0.3">
      <c r="A141">
        <v>2007</v>
      </c>
      <c r="B141" t="s">
        <v>120</v>
      </c>
      <c r="C141">
        <v>50</v>
      </c>
      <c r="D141">
        <v>6.2727272727272698</v>
      </c>
    </row>
    <row r="142" spans="1:4" x14ac:dyDescent="0.3">
      <c r="A142">
        <v>2007</v>
      </c>
      <c r="B142" t="s">
        <v>120</v>
      </c>
      <c r="C142">
        <v>55</v>
      </c>
      <c r="D142">
        <v>3.1363636363636398</v>
      </c>
    </row>
    <row r="143" spans="1:4" x14ac:dyDescent="0.3">
      <c r="A143">
        <v>2007</v>
      </c>
      <c r="B143" t="s">
        <v>120</v>
      </c>
      <c r="C143">
        <v>65</v>
      </c>
      <c r="D143">
        <v>1.0454545454545501</v>
      </c>
    </row>
    <row r="144" spans="1:4" x14ac:dyDescent="0.3">
      <c r="A144">
        <v>2007</v>
      </c>
      <c r="B144" t="s">
        <v>120</v>
      </c>
      <c r="C144">
        <v>70</v>
      </c>
      <c r="D144">
        <v>2.0909090909090899</v>
      </c>
    </row>
    <row r="145" spans="1:4" x14ac:dyDescent="0.3">
      <c r="A145">
        <v>2007</v>
      </c>
      <c r="B145" t="s">
        <v>120</v>
      </c>
      <c r="C145">
        <v>75</v>
      </c>
      <c r="D145">
        <v>1.0454545454545501</v>
      </c>
    </row>
    <row r="146" spans="1:4" x14ac:dyDescent="0.3">
      <c r="A146">
        <v>2007</v>
      </c>
      <c r="B146" t="s">
        <v>120</v>
      </c>
      <c r="C146">
        <v>80</v>
      </c>
      <c r="D146">
        <v>2.0909090909090899</v>
      </c>
    </row>
    <row r="147" spans="1:4" x14ac:dyDescent="0.3">
      <c r="A147">
        <v>2007</v>
      </c>
      <c r="B147" t="s">
        <v>120</v>
      </c>
      <c r="C147">
        <v>85</v>
      </c>
      <c r="D147">
        <v>0</v>
      </c>
    </row>
    <row r="148" spans="1:4" x14ac:dyDescent="0.3">
      <c r="A148">
        <v>2008</v>
      </c>
      <c r="B148" t="s">
        <v>120</v>
      </c>
      <c r="C148">
        <v>0</v>
      </c>
      <c r="D148">
        <v>0</v>
      </c>
    </row>
    <row r="149" spans="1:4" x14ac:dyDescent="0.3">
      <c r="A149">
        <v>2008</v>
      </c>
      <c r="B149" t="s">
        <v>120</v>
      </c>
      <c r="C149">
        <v>15</v>
      </c>
      <c r="D149">
        <v>10.1724137931034</v>
      </c>
    </row>
    <row r="150" spans="1:4" x14ac:dyDescent="0.3">
      <c r="A150">
        <v>2008</v>
      </c>
      <c r="B150" t="s">
        <v>120</v>
      </c>
      <c r="C150">
        <v>20</v>
      </c>
      <c r="D150">
        <v>8.1379310344827598</v>
      </c>
    </row>
    <row r="151" spans="1:4" x14ac:dyDescent="0.3">
      <c r="A151">
        <v>2008</v>
      </c>
      <c r="B151" t="s">
        <v>120</v>
      </c>
      <c r="C151">
        <v>25</v>
      </c>
      <c r="D151">
        <v>8.1379310344827598</v>
      </c>
    </row>
    <row r="152" spans="1:4" x14ac:dyDescent="0.3">
      <c r="A152">
        <v>2008</v>
      </c>
      <c r="B152" t="s">
        <v>120</v>
      </c>
      <c r="C152">
        <v>30</v>
      </c>
      <c r="D152">
        <v>3.0517241379310298</v>
      </c>
    </row>
    <row r="153" spans="1:4" x14ac:dyDescent="0.3">
      <c r="A153">
        <v>2008</v>
      </c>
      <c r="B153" t="s">
        <v>120</v>
      </c>
      <c r="C153">
        <v>35</v>
      </c>
      <c r="D153">
        <v>7.1206896551724101</v>
      </c>
    </row>
    <row r="154" spans="1:4" x14ac:dyDescent="0.3">
      <c r="A154">
        <v>2008</v>
      </c>
      <c r="B154" t="s">
        <v>120</v>
      </c>
      <c r="C154">
        <v>40</v>
      </c>
      <c r="D154">
        <v>4.0689655172413799</v>
      </c>
    </row>
    <row r="155" spans="1:4" x14ac:dyDescent="0.3">
      <c r="A155">
        <v>2008</v>
      </c>
      <c r="B155" t="s">
        <v>120</v>
      </c>
      <c r="C155">
        <v>45</v>
      </c>
      <c r="D155">
        <v>4.0689655172413799</v>
      </c>
    </row>
    <row r="156" spans="1:4" x14ac:dyDescent="0.3">
      <c r="A156">
        <v>2008</v>
      </c>
      <c r="B156" t="s">
        <v>120</v>
      </c>
      <c r="C156">
        <v>50</v>
      </c>
      <c r="D156">
        <v>3.0517241379310298</v>
      </c>
    </row>
    <row r="157" spans="1:4" x14ac:dyDescent="0.3">
      <c r="A157">
        <v>2008</v>
      </c>
      <c r="B157" t="s">
        <v>120</v>
      </c>
      <c r="C157">
        <v>55</v>
      </c>
      <c r="D157">
        <v>2.0344827586206899</v>
      </c>
    </row>
    <row r="158" spans="1:4" x14ac:dyDescent="0.3">
      <c r="A158">
        <v>2008</v>
      </c>
      <c r="B158" t="s">
        <v>120</v>
      </c>
      <c r="C158">
        <v>60</v>
      </c>
      <c r="D158">
        <v>4.0689655172413799</v>
      </c>
    </row>
    <row r="159" spans="1:4" x14ac:dyDescent="0.3">
      <c r="A159">
        <v>2008</v>
      </c>
      <c r="B159" t="s">
        <v>120</v>
      </c>
      <c r="C159">
        <v>65</v>
      </c>
      <c r="D159">
        <v>1.0172413793103401</v>
      </c>
    </row>
    <row r="160" spans="1:4" x14ac:dyDescent="0.3">
      <c r="A160">
        <v>2008</v>
      </c>
      <c r="B160" t="s">
        <v>120</v>
      </c>
      <c r="C160">
        <v>70</v>
      </c>
      <c r="D160">
        <v>1.0172413793103401</v>
      </c>
    </row>
    <row r="161" spans="1:4" x14ac:dyDescent="0.3">
      <c r="A161">
        <v>2008</v>
      </c>
      <c r="B161" t="s">
        <v>120</v>
      </c>
      <c r="C161">
        <v>75</v>
      </c>
      <c r="D161">
        <v>1.0172413793103401</v>
      </c>
    </row>
    <row r="162" spans="1:4" x14ac:dyDescent="0.3">
      <c r="A162">
        <v>2008</v>
      </c>
      <c r="B162" t="s">
        <v>120</v>
      </c>
      <c r="C162">
        <v>80</v>
      </c>
      <c r="D162">
        <v>2.0344827586206899</v>
      </c>
    </row>
    <row r="163" spans="1:4" x14ac:dyDescent="0.3">
      <c r="A163">
        <v>2009</v>
      </c>
      <c r="B163" t="s">
        <v>120</v>
      </c>
      <c r="C163">
        <v>1</v>
      </c>
      <c r="D163">
        <v>0</v>
      </c>
    </row>
    <row r="164" spans="1:4" x14ac:dyDescent="0.3">
      <c r="A164">
        <v>2009</v>
      </c>
      <c r="B164" t="s">
        <v>120</v>
      </c>
      <c r="C164">
        <v>10</v>
      </c>
      <c r="D164">
        <v>1.02898550724638</v>
      </c>
    </row>
    <row r="165" spans="1:4" x14ac:dyDescent="0.3">
      <c r="A165">
        <v>2009</v>
      </c>
      <c r="B165" t="s">
        <v>120</v>
      </c>
      <c r="C165">
        <v>15</v>
      </c>
      <c r="D165">
        <v>13.3768115942029</v>
      </c>
    </row>
    <row r="166" spans="1:4" x14ac:dyDescent="0.3">
      <c r="A166">
        <v>2009</v>
      </c>
      <c r="B166" t="s">
        <v>120</v>
      </c>
      <c r="C166">
        <v>20</v>
      </c>
      <c r="D166">
        <v>9.2608695652173907</v>
      </c>
    </row>
    <row r="167" spans="1:4" x14ac:dyDescent="0.3">
      <c r="A167">
        <v>2009</v>
      </c>
      <c r="B167" t="s">
        <v>120</v>
      </c>
      <c r="C167">
        <v>25</v>
      </c>
      <c r="D167">
        <v>10.2898550724638</v>
      </c>
    </row>
    <row r="168" spans="1:4" x14ac:dyDescent="0.3">
      <c r="A168">
        <v>2009</v>
      </c>
      <c r="B168" t="s">
        <v>120</v>
      </c>
      <c r="C168">
        <v>30</v>
      </c>
      <c r="D168">
        <v>6.1739130434782599</v>
      </c>
    </row>
    <row r="169" spans="1:4" x14ac:dyDescent="0.3">
      <c r="A169">
        <v>2009</v>
      </c>
      <c r="B169" t="s">
        <v>120</v>
      </c>
      <c r="C169">
        <v>35</v>
      </c>
      <c r="D169">
        <v>5.1449275362318803</v>
      </c>
    </row>
    <row r="170" spans="1:4" x14ac:dyDescent="0.3">
      <c r="A170">
        <v>2009</v>
      </c>
      <c r="B170" t="s">
        <v>120</v>
      </c>
      <c r="C170">
        <v>40</v>
      </c>
      <c r="D170">
        <v>3.0869565217391299</v>
      </c>
    </row>
    <row r="171" spans="1:4" x14ac:dyDescent="0.3">
      <c r="A171">
        <v>2009</v>
      </c>
      <c r="B171" t="s">
        <v>120</v>
      </c>
      <c r="C171">
        <v>45</v>
      </c>
      <c r="D171">
        <v>7.2028985507246404</v>
      </c>
    </row>
    <row r="172" spans="1:4" x14ac:dyDescent="0.3">
      <c r="A172">
        <v>2009</v>
      </c>
      <c r="B172" t="s">
        <v>120</v>
      </c>
      <c r="C172">
        <v>50</v>
      </c>
      <c r="D172">
        <v>2.0579710144927499</v>
      </c>
    </row>
    <row r="173" spans="1:4" x14ac:dyDescent="0.3">
      <c r="A173">
        <v>2009</v>
      </c>
      <c r="B173" t="s">
        <v>120</v>
      </c>
      <c r="C173">
        <v>55</v>
      </c>
      <c r="D173">
        <v>7.2028985507246404</v>
      </c>
    </row>
    <row r="174" spans="1:4" x14ac:dyDescent="0.3">
      <c r="A174">
        <v>2009</v>
      </c>
      <c r="B174" t="s">
        <v>120</v>
      </c>
      <c r="C174">
        <v>60</v>
      </c>
      <c r="D174">
        <v>4.1159420289855104</v>
      </c>
    </row>
    <row r="175" spans="1:4" x14ac:dyDescent="0.3">
      <c r="A175">
        <v>2009</v>
      </c>
      <c r="B175" t="s">
        <v>120</v>
      </c>
      <c r="C175">
        <v>65</v>
      </c>
      <c r="D175">
        <v>1.02898550724638</v>
      </c>
    </row>
    <row r="176" spans="1:4" x14ac:dyDescent="0.3">
      <c r="A176">
        <v>2009</v>
      </c>
      <c r="B176" t="s">
        <v>120</v>
      </c>
      <c r="C176">
        <v>75</v>
      </c>
      <c r="D176">
        <v>1.02898550724638</v>
      </c>
    </row>
    <row r="177" spans="1:4" x14ac:dyDescent="0.3">
      <c r="A177">
        <v>2009</v>
      </c>
      <c r="B177" t="s">
        <v>120</v>
      </c>
      <c r="C177">
        <v>80</v>
      </c>
      <c r="D177">
        <v>0</v>
      </c>
    </row>
    <row r="178" spans="1:4" x14ac:dyDescent="0.3">
      <c r="A178">
        <v>2012</v>
      </c>
      <c r="B178" t="s">
        <v>120</v>
      </c>
      <c r="C178">
        <v>5</v>
      </c>
      <c r="D178">
        <v>1.0102040816326501</v>
      </c>
    </row>
    <row r="179" spans="1:4" x14ac:dyDescent="0.3">
      <c r="A179">
        <v>2012</v>
      </c>
      <c r="B179" t="s">
        <v>120</v>
      </c>
      <c r="C179">
        <v>10</v>
      </c>
      <c r="D179">
        <v>2.0204081632653099</v>
      </c>
    </row>
    <row r="180" spans="1:4" x14ac:dyDescent="0.3">
      <c r="A180">
        <v>2012</v>
      </c>
      <c r="B180" t="s">
        <v>120</v>
      </c>
      <c r="C180">
        <v>15</v>
      </c>
      <c r="D180">
        <v>9.0918367346938798</v>
      </c>
    </row>
    <row r="181" spans="1:4" x14ac:dyDescent="0.3">
      <c r="A181">
        <v>2012</v>
      </c>
      <c r="B181" t="s">
        <v>120</v>
      </c>
      <c r="C181">
        <v>20</v>
      </c>
      <c r="D181">
        <v>16.163265306122401</v>
      </c>
    </row>
    <row r="182" spans="1:4" x14ac:dyDescent="0.3">
      <c r="A182">
        <v>2012</v>
      </c>
      <c r="B182" t="s">
        <v>120</v>
      </c>
      <c r="C182">
        <v>25</v>
      </c>
      <c r="D182">
        <v>17.173469387755102</v>
      </c>
    </row>
    <row r="183" spans="1:4" x14ac:dyDescent="0.3">
      <c r="A183">
        <v>2012</v>
      </c>
      <c r="B183" t="s">
        <v>120</v>
      </c>
      <c r="C183">
        <v>30</v>
      </c>
      <c r="D183">
        <v>11.112244897959201</v>
      </c>
    </row>
    <row r="184" spans="1:4" x14ac:dyDescent="0.3">
      <c r="A184">
        <v>2012</v>
      </c>
      <c r="B184" t="s">
        <v>120</v>
      </c>
      <c r="C184">
        <v>35</v>
      </c>
      <c r="D184">
        <v>12.1224489795918</v>
      </c>
    </row>
    <row r="185" spans="1:4" x14ac:dyDescent="0.3">
      <c r="A185">
        <v>2012</v>
      </c>
      <c r="B185" t="s">
        <v>120</v>
      </c>
      <c r="C185">
        <v>40</v>
      </c>
      <c r="D185">
        <v>5.0510204081632697</v>
      </c>
    </row>
    <row r="186" spans="1:4" x14ac:dyDescent="0.3">
      <c r="A186">
        <v>2012</v>
      </c>
      <c r="B186" t="s">
        <v>120</v>
      </c>
      <c r="C186">
        <v>45</v>
      </c>
      <c r="D186">
        <v>9.0918367346938798</v>
      </c>
    </row>
    <row r="187" spans="1:4" x14ac:dyDescent="0.3">
      <c r="A187">
        <v>2012</v>
      </c>
      <c r="B187" t="s">
        <v>120</v>
      </c>
      <c r="C187">
        <v>50</v>
      </c>
      <c r="D187">
        <v>2.0204081632653099</v>
      </c>
    </row>
    <row r="188" spans="1:4" x14ac:dyDescent="0.3">
      <c r="A188">
        <v>2012</v>
      </c>
      <c r="B188" t="s">
        <v>120</v>
      </c>
      <c r="C188">
        <v>55</v>
      </c>
      <c r="D188">
        <v>6.0612244897959204</v>
      </c>
    </row>
    <row r="189" spans="1:4" x14ac:dyDescent="0.3">
      <c r="A189">
        <v>2012</v>
      </c>
      <c r="B189" t="s">
        <v>120</v>
      </c>
      <c r="C189">
        <v>60</v>
      </c>
      <c r="D189">
        <v>3.0306122448979602</v>
      </c>
    </row>
    <row r="190" spans="1:4" x14ac:dyDescent="0.3">
      <c r="A190">
        <v>2012</v>
      </c>
      <c r="B190" t="s">
        <v>120</v>
      </c>
      <c r="C190">
        <v>65</v>
      </c>
      <c r="D190">
        <v>1.0102040816326501</v>
      </c>
    </row>
    <row r="191" spans="1:4" x14ac:dyDescent="0.3">
      <c r="A191">
        <v>2012</v>
      </c>
      <c r="B191" t="s">
        <v>120</v>
      </c>
      <c r="C191">
        <v>70</v>
      </c>
      <c r="D191">
        <v>0</v>
      </c>
    </row>
    <row r="192" spans="1:4" x14ac:dyDescent="0.3">
      <c r="A192">
        <v>2012</v>
      </c>
      <c r="B192" t="s">
        <v>120</v>
      </c>
      <c r="C192">
        <v>75</v>
      </c>
      <c r="D192">
        <v>2.0204081632653099</v>
      </c>
    </row>
    <row r="193" spans="1:4" x14ac:dyDescent="0.3">
      <c r="A193">
        <v>2012</v>
      </c>
      <c r="B193" t="s">
        <v>120</v>
      </c>
      <c r="C193">
        <v>80</v>
      </c>
      <c r="D193">
        <v>2.0204081632653099</v>
      </c>
    </row>
    <row r="194" spans="1:4" x14ac:dyDescent="0.3">
      <c r="A194">
        <v>2015</v>
      </c>
      <c r="B194" t="s">
        <v>120</v>
      </c>
      <c r="C194">
        <v>0</v>
      </c>
      <c r="D194">
        <v>0</v>
      </c>
    </row>
    <row r="195" spans="1:4" x14ac:dyDescent="0.3">
      <c r="A195">
        <v>2015</v>
      </c>
      <c r="B195" t="s">
        <v>120</v>
      </c>
      <c r="C195">
        <v>1</v>
      </c>
      <c r="D195">
        <v>0</v>
      </c>
    </row>
    <row r="196" spans="1:4" x14ac:dyDescent="0.3">
      <c r="A196">
        <v>2015</v>
      </c>
      <c r="B196" t="s">
        <v>120</v>
      </c>
      <c r="C196">
        <v>15</v>
      </c>
      <c r="D196">
        <v>11.2796610169492</v>
      </c>
    </row>
    <row r="197" spans="1:4" x14ac:dyDescent="0.3">
      <c r="A197">
        <v>2015</v>
      </c>
      <c r="B197" t="s">
        <v>120</v>
      </c>
      <c r="C197">
        <v>20</v>
      </c>
      <c r="D197">
        <v>18.457627118644101</v>
      </c>
    </row>
    <row r="198" spans="1:4" x14ac:dyDescent="0.3">
      <c r="A198">
        <v>2015</v>
      </c>
      <c r="B198" t="s">
        <v>120</v>
      </c>
      <c r="C198">
        <v>25</v>
      </c>
      <c r="D198">
        <v>11.2796610169492</v>
      </c>
    </row>
    <row r="199" spans="1:4" x14ac:dyDescent="0.3">
      <c r="A199">
        <v>2015</v>
      </c>
      <c r="B199" t="s">
        <v>120</v>
      </c>
      <c r="C199">
        <v>30</v>
      </c>
      <c r="D199">
        <v>16.406779661016898</v>
      </c>
    </row>
    <row r="200" spans="1:4" x14ac:dyDescent="0.3">
      <c r="A200">
        <v>2015</v>
      </c>
      <c r="B200" t="s">
        <v>120</v>
      </c>
      <c r="C200">
        <v>35</v>
      </c>
      <c r="D200">
        <v>13.3305084745763</v>
      </c>
    </row>
    <row r="201" spans="1:4" x14ac:dyDescent="0.3">
      <c r="A201">
        <v>2015</v>
      </c>
      <c r="B201" t="s">
        <v>120</v>
      </c>
      <c r="C201">
        <v>40</v>
      </c>
      <c r="D201">
        <v>15.3813559322034</v>
      </c>
    </row>
    <row r="202" spans="1:4" x14ac:dyDescent="0.3">
      <c r="A202">
        <v>2015</v>
      </c>
      <c r="B202" t="s">
        <v>120</v>
      </c>
      <c r="C202">
        <v>45</v>
      </c>
      <c r="D202">
        <v>13.3305084745763</v>
      </c>
    </row>
    <row r="203" spans="1:4" x14ac:dyDescent="0.3">
      <c r="A203">
        <v>2015</v>
      </c>
      <c r="B203" t="s">
        <v>120</v>
      </c>
      <c r="C203">
        <v>50</v>
      </c>
      <c r="D203">
        <v>5.1271186440678003</v>
      </c>
    </row>
    <row r="204" spans="1:4" x14ac:dyDescent="0.3">
      <c r="A204">
        <v>2015</v>
      </c>
      <c r="B204" t="s">
        <v>120</v>
      </c>
      <c r="C204">
        <v>55</v>
      </c>
      <c r="D204">
        <v>4.1016949152542397</v>
      </c>
    </row>
    <row r="205" spans="1:4" x14ac:dyDescent="0.3">
      <c r="A205">
        <v>2015</v>
      </c>
      <c r="B205" t="s">
        <v>120</v>
      </c>
      <c r="C205">
        <v>60</v>
      </c>
      <c r="D205">
        <v>7.1779661016949197</v>
      </c>
    </row>
    <row r="206" spans="1:4" x14ac:dyDescent="0.3">
      <c r="A206">
        <v>2015</v>
      </c>
      <c r="B206" t="s">
        <v>120</v>
      </c>
      <c r="C206">
        <v>65</v>
      </c>
      <c r="D206">
        <v>3.07627118644068</v>
      </c>
    </row>
    <row r="207" spans="1:4" x14ac:dyDescent="0.3">
      <c r="A207">
        <v>2015</v>
      </c>
      <c r="B207" t="s">
        <v>120</v>
      </c>
      <c r="C207">
        <v>70</v>
      </c>
      <c r="D207">
        <v>1.0254237288135599</v>
      </c>
    </row>
    <row r="208" spans="1:4" x14ac:dyDescent="0.3">
      <c r="A208">
        <v>2015</v>
      </c>
      <c r="B208" t="s">
        <v>120</v>
      </c>
      <c r="C208">
        <v>75</v>
      </c>
      <c r="D208">
        <v>1.0254237288135599</v>
      </c>
    </row>
    <row r="209" spans="1:4" x14ac:dyDescent="0.3">
      <c r="A209">
        <v>2016</v>
      </c>
      <c r="B209" t="s">
        <v>120</v>
      </c>
      <c r="C209">
        <v>1</v>
      </c>
      <c r="D209">
        <v>0</v>
      </c>
    </row>
    <row r="210" spans="1:4" x14ac:dyDescent="0.3">
      <c r="A210">
        <v>2016</v>
      </c>
      <c r="B210" t="s">
        <v>120</v>
      </c>
      <c r="C210">
        <v>5</v>
      </c>
      <c r="D210">
        <v>1</v>
      </c>
    </row>
    <row r="211" spans="1:4" x14ac:dyDescent="0.3">
      <c r="A211">
        <v>2016</v>
      </c>
      <c r="B211" t="s">
        <v>120</v>
      </c>
      <c r="C211">
        <v>10</v>
      </c>
      <c r="D211">
        <v>2</v>
      </c>
    </row>
    <row r="212" spans="1:4" x14ac:dyDescent="0.3">
      <c r="A212">
        <v>2016</v>
      </c>
      <c r="B212" t="s">
        <v>120</v>
      </c>
      <c r="C212">
        <v>15</v>
      </c>
      <c r="D212">
        <v>9</v>
      </c>
    </row>
    <row r="213" spans="1:4" x14ac:dyDescent="0.3">
      <c r="A213">
        <v>2016</v>
      </c>
      <c r="B213" t="s">
        <v>120</v>
      </c>
      <c r="C213">
        <v>20</v>
      </c>
      <c r="D213">
        <v>18</v>
      </c>
    </row>
    <row r="214" spans="1:4" x14ac:dyDescent="0.3">
      <c r="A214">
        <v>2016</v>
      </c>
      <c r="B214" t="s">
        <v>120</v>
      </c>
      <c r="C214">
        <v>25</v>
      </c>
      <c r="D214">
        <v>15</v>
      </c>
    </row>
    <row r="215" spans="1:4" x14ac:dyDescent="0.3">
      <c r="A215">
        <v>2016</v>
      </c>
      <c r="B215" t="s">
        <v>120</v>
      </c>
      <c r="C215">
        <v>30</v>
      </c>
      <c r="D215">
        <v>15</v>
      </c>
    </row>
    <row r="216" spans="1:4" x14ac:dyDescent="0.3">
      <c r="A216">
        <v>2016</v>
      </c>
      <c r="B216" t="s">
        <v>120</v>
      </c>
      <c r="C216">
        <v>35</v>
      </c>
      <c r="D216">
        <v>17</v>
      </c>
    </row>
    <row r="217" spans="1:4" x14ac:dyDescent="0.3">
      <c r="A217">
        <v>2016</v>
      </c>
      <c r="B217" t="s">
        <v>120</v>
      </c>
      <c r="C217">
        <v>40</v>
      </c>
      <c r="D217">
        <v>12</v>
      </c>
    </row>
    <row r="218" spans="1:4" x14ac:dyDescent="0.3">
      <c r="A218">
        <v>2016</v>
      </c>
      <c r="B218" t="s">
        <v>120</v>
      </c>
      <c r="C218">
        <v>45</v>
      </c>
      <c r="D218">
        <v>9</v>
      </c>
    </row>
    <row r="219" spans="1:4" x14ac:dyDescent="0.3">
      <c r="A219">
        <v>2016</v>
      </c>
      <c r="B219" t="s">
        <v>120</v>
      </c>
      <c r="C219">
        <v>50</v>
      </c>
      <c r="D219">
        <v>6</v>
      </c>
    </row>
    <row r="220" spans="1:4" x14ac:dyDescent="0.3">
      <c r="A220">
        <v>2016</v>
      </c>
      <c r="B220" t="s">
        <v>120</v>
      </c>
      <c r="C220">
        <v>55</v>
      </c>
      <c r="D220">
        <v>7</v>
      </c>
    </row>
    <row r="221" spans="1:4" x14ac:dyDescent="0.3">
      <c r="A221">
        <v>2016</v>
      </c>
      <c r="B221" t="s">
        <v>120</v>
      </c>
      <c r="C221">
        <v>60</v>
      </c>
      <c r="D221">
        <v>1</v>
      </c>
    </row>
    <row r="222" spans="1:4" x14ac:dyDescent="0.3">
      <c r="A222">
        <v>2016</v>
      </c>
      <c r="B222" t="s">
        <v>120</v>
      </c>
      <c r="C222">
        <v>65</v>
      </c>
      <c r="D222">
        <v>4</v>
      </c>
    </row>
    <row r="223" spans="1:4" x14ac:dyDescent="0.3">
      <c r="A223">
        <v>2016</v>
      </c>
      <c r="B223" t="s">
        <v>120</v>
      </c>
      <c r="C223">
        <v>70</v>
      </c>
      <c r="D223">
        <v>0</v>
      </c>
    </row>
    <row r="224" spans="1:4" x14ac:dyDescent="0.3">
      <c r="A224">
        <v>2016</v>
      </c>
      <c r="B224" t="s">
        <v>120</v>
      </c>
      <c r="C224">
        <v>75</v>
      </c>
      <c r="D224">
        <v>2</v>
      </c>
    </row>
    <row r="225" spans="1:4" x14ac:dyDescent="0.3">
      <c r="A225">
        <v>2016</v>
      </c>
      <c r="B225" t="s">
        <v>120</v>
      </c>
      <c r="C225">
        <v>80</v>
      </c>
      <c r="D225">
        <v>1</v>
      </c>
    </row>
    <row r="226" spans="1:4" x14ac:dyDescent="0.3">
      <c r="A226">
        <v>2016</v>
      </c>
      <c r="B226" t="s">
        <v>120</v>
      </c>
      <c r="C226">
        <v>85</v>
      </c>
      <c r="D226">
        <v>0</v>
      </c>
    </row>
    <row r="227" spans="1:4" x14ac:dyDescent="0.3">
      <c r="A227">
        <v>2017</v>
      </c>
      <c r="B227" t="s">
        <v>120</v>
      </c>
      <c r="C227">
        <v>0</v>
      </c>
      <c r="D227">
        <v>0</v>
      </c>
    </row>
    <row r="228" spans="1:4" x14ac:dyDescent="0.3">
      <c r="A228">
        <v>2017</v>
      </c>
      <c r="B228" t="s">
        <v>120</v>
      </c>
      <c r="C228">
        <v>5</v>
      </c>
      <c r="D228">
        <v>1.0053191489361699</v>
      </c>
    </row>
    <row r="229" spans="1:4" x14ac:dyDescent="0.3">
      <c r="A229">
        <v>2017</v>
      </c>
      <c r="B229" t="s">
        <v>120</v>
      </c>
      <c r="C229">
        <v>10</v>
      </c>
      <c r="D229">
        <v>4.0212765957446797</v>
      </c>
    </row>
    <row r="230" spans="1:4" x14ac:dyDescent="0.3">
      <c r="A230">
        <v>2017</v>
      </c>
      <c r="B230" t="s">
        <v>120</v>
      </c>
      <c r="C230">
        <v>15</v>
      </c>
      <c r="D230">
        <v>9.0478723404255295</v>
      </c>
    </row>
    <row r="231" spans="1:4" x14ac:dyDescent="0.3">
      <c r="A231">
        <v>2017</v>
      </c>
      <c r="B231" t="s">
        <v>120</v>
      </c>
      <c r="C231">
        <v>20</v>
      </c>
      <c r="D231">
        <v>25.1329787234043</v>
      </c>
    </row>
    <row r="232" spans="1:4" x14ac:dyDescent="0.3">
      <c r="A232">
        <v>2017</v>
      </c>
      <c r="B232" t="s">
        <v>120</v>
      </c>
      <c r="C232">
        <v>25</v>
      </c>
      <c r="D232">
        <v>34.180851063829799</v>
      </c>
    </row>
    <row r="233" spans="1:4" x14ac:dyDescent="0.3">
      <c r="A233">
        <v>2017</v>
      </c>
      <c r="B233" t="s">
        <v>120</v>
      </c>
      <c r="C233">
        <v>30</v>
      </c>
      <c r="D233">
        <v>28.148936170212799</v>
      </c>
    </row>
    <row r="234" spans="1:4" x14ac:dyDescent="0.3">
      <c r="A234">
        <v>2017</v>
      </c>
      <c r="B234" t="s">
        <v>120</v>
      </c>
      <c r="C234">
        <v>35</v>
      </c>
      <c r="D234">
        <v>24.127659574468101</v>
      </c>
    </row>
    <row r="235" spans="1:4" x14ac:dyDescent="0.3">
      <c r="A235">
        <v>2017</v>
      </c>
      <c r="B235" t="s">
        <v>120</v>
      </c>
      <c r="C235">
        <v>40</v>
      </c>
      <c r="D235">
        <v>19.101063829787201</v>
      </c>
    </row>
    <row r="236" spans="1:4" x14ac:dyDescent="0.3">
      <c r="A236">
        <v>2017</v>
      </c>
      <c r="B236" t="s">
        <v>120</v>
      </c>
      <c r="C236">
        <v>45</v>
      </c>
      <c r="D236">
        <v>16.085106382978701</v>
      </c>
    </row>
    <row r="237" spans="1:4" x14ac:dyDescent="0.3">
      <c r="A237">
        <v>2017</v>
      </c>
      <c r="B237" t="s">
        <v>120</v>
      </c>
      <c r="C237">
        <v>50</v>
      </c>
      <c r="D237">
        <v>12.063829787234001</v>
      </c>
    </row>
    <row r="238" spans="1:4" x14ac:dyDescent="0.3">
      <c r="A238">
        <v>2017</v>
      </c>
      <c r="B238" t="s">
        <v>120</v>
      </c>
      <c r="C238">
        <v>55</v>
      </c>
      <c r="D238">
        <v>7.0372340425531901</v>
      </c>
    </row>
    <row r="239" spans="1:4" x14ac:dyDescent="0.3">
      <c r="A239">
        <v>2017</v>
      </c>
      <c r="B239" t="s">
        <v>120</v>
      </c>
      <c r="C239">
        <v>60</v>
      </c>
      <c r="D239">
        <v>3.01595744680851</v>
      </c>
    </row>
    <row r="240" spans="1:4" x14ac:dyDescent="0.3">
      <c r="A240">
        <v>2017</v>
      </c>
      <c r="B240" t="s">
        <v>120</v>
      </c>
      <c r="C240">
        <v>65</v>
      </c>
      <c r="D240">
        <v>3.01595744680851</v>
      </c>
    </row>
    <row r="241" spans="1:4" x14ac:dyDescent="0.3">
      <c r="A241">
        <v>2017</v>
      </c>
      <c r="B241" t="s">
        <v>120</v>
      </c>
      <c r="C241">
        <v>70</v>
      </c>
      <c r="D241">
        <v>2.0106382978723398</v>
      </c>
    </row>
    <row r="242" spans="1:4" x14ac:dyDescent="0.3">
      <c r="A242">
        <v>2017</v>
      </c>
      <c r="B242" t="s">
        <v>120</v>
      </c>
      <c r="C242">
        <v>80</v>
      </c>
      <c r="D242">
        <v>1.0053191489361699</v>
      </c>
    </row>
    <row r="243" spans="1:4" x14ac:dyDescent="0.3">
      <c r="A243">
        <v>2019</v>
      </c>
      <c r="B243" t="s">
        <v>120</v>
      </c>
      <c r="C243">
        <v>1</v>
      </c>
      <c r="D243">
        <v>1.0097087378640801</v>
      </c>
    </row>
    <row r="244" spans="1:4" x14ac:dyDescent="0.3">
      <c r="A244">
        <v>2019</v>
      </c>
      <c r="B244" t="s">
        <v>120</v>
      </c>
      <c r="C244">
        <v>10</v>
      </c>
      <c r="D244">
        <v>3.0291262135922299</v>
      </c>
    </row>
    <row r="245" spans="1:4" x14ac:dyDescent="0.3">
      <c r="A245">
        <v>2019</v>
      </c>
      <c r="B245" t="s">
        <v>120</v>
      </c>
      <c r="C245">
        <v>15</v>
      </c>
      <c r="D245">
        <v>6.0582524271844704</v>
      </c>
    </row>
    <row r="246" spans="1:4" x14ac:dyDescent="0.3">
      <c r="A246">
        <v>2019</v>
      </c>
      <c r="B246" t="s">
        <v>120</v>
      </c>
      <c r="C246">
        <v>20</v>
      </c>
      <c r="D246">
        <v>30.291262135922299</v>
      </c>
    </row>
    <row r="247" spans="1:4" x14ac:dyDescent="0.3">
      <c r="A247">
        <v>2019</v>
      </c>
      <c r="B247" t="s">
        <v>120</v>
      </c>
      <c r="C247">
        <v>25</v>
      </c>
      <c r="D247">
        <v>35.339805825242699</v>
      </c>
    </row>
    <row r="248" spans="1:4" x14ac:dyDescent="0.3">
      <c r="A248">
        <v>2019</v>
      </c>
      <c r="B248" t="s">
        <v>120</v>
      </c>
      <c r="C248">
        <v>30</v>
      </c>
      <c r="D248">
        <v>29.2815533980583</v>
      </c>
    </row>
    <row r="249" spans="1:4" x14ac:dyDescent="0.3">
      <c r="A249">
        <v>2019</v>
      </c>
      <c r="B249" t="s">
        <v>120</v>
      </c>
      <c r="C249">
        <v>35</v>
      </c>
      <c r="D249">
        <v>25.242718446601899</v>
      </c>
    </row>
    <row r="250" spans="1:4" x14ac:dyDescent="0.3">
      <c r="A250">
        <v>2019</v>
      </c>
      <c r="B250" t="s">
        <v>120</v>
      </c>
      <c r="C250">
        <v>40</v>
      </c>
      <c r="D250">
        <v>20.194174757281601</v>
      </c>
    </row>
    <row r="251" spans="1:4" x14ac:dyDescent="0.3">
      <c r="A251">
        <v>2019</v>
      </c>
      <c r="B251" t="s">
        <v>120</v>
      </c>
      <c r="C251">
        <v>45</v>
      </c>
      <c r="D251">
        <v>27.262135922330099</v>
      </c>
    </row>
    <row r="252" spans="1:4" x14ac:dyDescent="0.3">
      <c r="A252">
        <v>2019</v>
      </c>
      <c r="B252" t="s">
        <v>120</v>
      </c>
      <c r="C252">
        <v>50</v>
      </c>
      <c r="D252">
        <v>11.106796116504899</v>
      </c>
    </row>
    <row r="253" spans="1:4" x14ac:dyDescent="0.3">
      <c r="A253">
        <v>2019</v>
      </c>
      <c r="B253" t="s">
        <v>120</v>
      </c>
      <c r="C253">
        <v>55</v>
      </c>
      <c r="D253">
        <v>6.0582524271844704</v>
      </c>
    </row>
    <row r="254" spans="1:4" x14ac:dyDescent="0.3">
      <c r="A254">
        <v>2019</v>
      </c>
      <c r="B254" t="s">
        <v>120</v>
      </c>
      <c r="C254">
        <v>60</v>
      </c>
      <c r="D254">
        <v>5.0485436893203897</v>
      </c>
    </row>
    <row r="255" spans="1:4" x14ac:dyDescent="0.3">
      <c r="A255">
        <v>2019</v>
      </c>
      <c r="B255" t="s">
        <v>120</v>
      </c>
      <c r="C255">
        <v>65</v>
      </c>
      <c r="D255">
        <v>6.0582524271844704</v>
      </c>
    </row>
    <row r="256" spans="1:4" x14ac:dyDescent="0.3">
      <c r="A256">
        <v>2019</v>
      </c>
      <c r="B256" t="s">
        <v>120</v>
      </c>
      <c r="C256">
        <v>75</v>
      </c>
      <c r="D256">
        <v>1.0097087378640801</v>
      </c>
    </row>
    <row r="257" spans="1:4" x14ac:dyDescent="0.3">
      <c r="A257">
        <v>2019</v>
      </c>
      <c r="B257" t="s">
        <v>120</v>
      </c>
      <c r="C257">
        <v>80</v>
      </c>
      <c r="D257">
        <v>1.0097087378640801</v>
      </c>
    </row>
    <row r="258" spans="1:4" x14ac:dyDescent="0.3">
      <c r="A258">
        <v>2020</v>
      </c>
      <c r="B258" t="s">
        <v>120</v>
      </c>
      <c r="C258">
        <v>10</v>
      </c>
      <c r="D258">
        <v>1.0043103448275901</v>
      </c>
    </row>
    <row r="259" spans="1:4" x14ac:dyDescent="0.3">
      <c r="A259">
        <v>2020</v>
      </c>
      <c r="B259" t="s">
        <v>120</v>
      </c>
      <c r="C259">
        <v>15</v>
      </c>
      <c r="D259">
        <v>15.064655172413801</v>
      </c>
    </row>
    <row r="260" spans="1:4" x14ac:dyDescent="0.3">
      <c r="A260">
        <v>2020</v>
      </c>
      <c r="B260" t="s">
        <v>120</v>
      </c>
      <c r="C260">
        <v>20</v>
      </c>
      <c r="D260">
        <v>25.107758620689701</v>
      </c>
    </row>
    <row r="261" spans="1:4" x14ac:dyDescent="0.3">
      <c r="A261">
        <v>2020</v>
      </c>
      <c r="B261" t="s">
        <v>120</v>
      </c>
      <c r="C261">
        <v>25</v>
      </c>
      <c r="D261">
        <v>34.1465517241379</v>
      </c>
    </row>
    <row r="262" spans="1:4" x14ac:dyDescent="0.3">
      <c r="A262">
        <v>2020</v>
      </c>
      <c r="B262" t="s">
        <v>120</v>
      </c>
      <c r="C262">
        <v>30</v>
      </c>
      <c r="D262">
        <v>33.142241379310299</v>
      </c>
    </row>
    <row r="263" spans="1:4" x14ac:dyDescent="0.3">
      <c r="A263">
        <v>2020</v>
      </c>
      <c r="B263" t="s">
        <v>120</v>
      </c>
      <c r="C263">
        <v>35</v>
      </c>
      <c r="D263">
        <v>34.1465517241379</v>
      </c>
    </row>
    <row r="264" spans="1:4" x14ac:dyDescent="0.3">
      <c r="A264">
        <v>2020</v>
      </c>
      <c r="B264" t="s">
        <v>120</v>
      </c>
      <c r="C264">
        <v>40</v>
      </c>
      <c r="D264">
        <v>24.1034482758621</v>
      </c>
    </row>
    <row r="265" spans="1:4" x14ac:dyDescent="0.3">
      <c r="A265">
        <v>2020</v>
      </c>
      <c r="B265" t="s">
        <v>120</v>
      </c>
      <c r="C265">
        <v>45</v>
      </c>
      <c r="D265">
        <v>31.133620689655199</v>
      </c>
    </row>
    <row r="266" spans="1:4" x14ac:dyDescent="0.3">
      <c r="A266">
        <v>2020</v>
      </c>
      <c r="B266" t="s">
        <v>120</v>
      </c>
      <c r="C266">
        <v>50</v>
      </c>
      <c r="D266">
        <v>16.068965517241399</v>
      </c>
    </row>
    <row r="267" spans="1:4" x14ac:dyDescent="0.3">
      <c r="A267">
        <v>2020</v>
      </c>
      <c r="B267" t="s">
        <v>120</v>
      </c>
      <c r="C267">
        <v>55</v>
      </c>
      <c r="D267">
        <v>9.0387931034482794</v>
      </c>
    </row>
    <row r="268" spans="1:4" x14ac:dyDescent="0.3">
      <c r="A268">
        <v>2020</v>
      </c>
      <c r="B268" t="s">
        <v>120</v>
      </c>
      <c r="C268">
        <v>60</v>
      </c>
      <c r="D268">
        <v>2.0086206896551699</v>
      </c>
    </row>
    <row r="269" spans="1:4" x14ac:dyDescent="0.3">
      <c r="A269">
        <v>2020</v>
      </c>
      <c r="B269" t="s">
        <v>120</v>
      </c>
      <c r="C269">
        <v>65</v>
      </c>
      <c r="D269">
        <v>3.0129310344827598</v>
      </c>
    </row>
    <row r="270" spans="1:4" x14ac:dyDescent="0.3">
      <c r="A270">
        <v>2020</v>
      </c>
      <c r="B270" t="s">
        <v>120</v>
      </c>
      <c r="C270">
        <v>70</v>
      </c>
      <c r="D270">
        <v>4.0172413793103496</v>
      </c>
    </row>
    <row r="271" spans="1:4" x14ac:dyDescent="0.3">
      <c r="A271">
        <v>2020</v>
      </c>
      <c r="B271" t="s">
        <v>120</v>
      </c>
      <c r="C271">
        <v>75</v>
      </c>
      <c r="D271">
        <v>1.0043103448275901</v>
      </c>
    </row>
    <row r="272" spans="1:4" x14ac:dyDescent="0.3">
      <c r="A272">
        <v>2021</v>
      </c>
      <c r="B272" t="s">
        <v>120</v>
      </c>
      <c r="C272">
        <v>0</v>
      </c>
      <c r="D272">
        <v>0</v>
      </c>
    </row>
    <row r="273" spans="1:4" x14ac:dyDescent="0.3">
      <c r="A273">
        <v>2021</v>
      </c>
      <c r="B273" t="s">
        <v>120</v>
      </c>
      <c r="C273">
        <v>15</v>
      </c>
      <c r="D273">
        <v>13.061904761904801</v>
      </c>
    </row>
    <row r="274" spans="1:4" x14ac:dyDescent="0.3">
      <c r="A274">
        <v>2021</v>
      </c>
      <c r="B274" t="s">
        <v>120</v>
      </c>
      <c r="C274">
        <v>20</v>
      </c>
      <c r="D274">
        <v>31.147619047618999</v>
      </c>
    </row>
    <row r="275" spans="1:4" x14ac:dyDescent="0.3">
      <c r="A275">
        <v>2021</v>
      </c>
      <c r="B275" t="s">
        <v>120</v>
      </c>
      <c r="C275">
        <v>25</v>
      </c>
      <c r="D275">
        <v>36.171428571428599</v>
      </c>
    </row>
    <row r="276" spans="1:4" x14ac:dyDescent="0.3">
      <c r="A276">
        <v>2021</v>
      </c>
      <c r="B276" t="s">
        <v>120</v>
      </c>
      <c r="C276">
        <v>30</v>
      </c>
      <c r="D276">
        <v>37.176190476190499</v>
      </c>
    </row>
    <row r="277" spans="1:4" x14ac:dyDescent="0.3">
      <c r="A277">
        <v>2021</v>
      </c>
      <c r="B277" t="s">
        <v>120</v>
      </c>
      <c r="C277">
        <v>35</v>
      </c>
      <c r="D277">
        <v>27.128571428571401</v>
      </c>
    </row>
    <row r="278" spans="1:4" x14ac:dyDescent="0.3">
      <c r="A278">
        <v>2021</v>
      </c>
      <c r="B278" t="s">
        <v>120</v>
      </c>
      <c r="C278">
        <v>40</v>
      </c>
      <c r="D278">
        <v>22.104761904761901</v>
      </c>
    </row>
    <row r="279" spans="1:4" x14ac:dyDescent="0.3">
      <c r="A279">
        <v>2021</v>
      </c>
      <c r="B279" t="s">
        <v>120</v>
      </c>
      <c r="C279">
        <v>45</v>
      </c>
      <c r="D279">
        <v>15.0714285714286</v>
      </c>
    </row>
    <row r="280" spans="1:4" x14ac:dyDescent="0.3">
      <c r="A280">
        <v>2021</v>
      </c>
      <c r="B280" t="s">
        <v>120</v>
      </c>
      <c r="C280">
        <v>50</v>
      </c>
      <c r="D280">
        <v>10.047619047618999</v>
      </c>
    </row>
    <row r="281" spans="1:4" x14ac:dyDescent="0.3">
      <c r="A281">
        <v>2021</v>
      </c>
      <c r="B281" t="s">
        <v>120</v>
      </c>
      <c r="C281">
        <v>55</v>
      </c>
      <c r="D281">
        <v>5.0238095238095202</v>
      </c>
    </row>
    <row r="282" spans="1:4" x14ac:dyDescent="0.3">
      <c r="A282">
        <v>2021</v>
      </c>
      <c r="B282" t="s">
        <v>120</v>
      </c>
      <c r="C282">
        <v>60</v>
      </c>
      <c r="D282">
        <v>8.0380952380952397</v>
      </c>
    </row>
    <row r="283" spans="1:4" x14ac:dyDescent="0.3">
      <c r="A283">
        <v>2021</v>
      </c>
      <c r="B283" t="s">
        <v>120</v>
      </c>
      <c r="C283">
        <v>65</v>
      </c>
      <c r="D283">
        <v>3.0142857142857098</v>
      </c>
    </row>
    <row r="284" spans="1:4" x14ac:dyDescent="0.3">
      <c r="A284">
        <v>2021</v>
      </c>
      <c r="B284" t="s">
        <v>120</v>
      </c>
      <c r="C284">
        <v>70</v>
      </c>
      <c r="D284">
        <v>1.0047619047619001</v>
      </c>
    </row>
    <row r="285" spans="1:4" x14ac:dyDescent="0.3">
      <c r="A285">
        <v>2021</v>
      </c>
      <c r="B285" t="s">
        <v>120</v>
      </c>
      <c r="C285">
        <v>75</v>
      </c>
      <c r="D285">
        <v>1.0047619047619001</v>
      </c>
    </row>
    <row r="286" spans="1:4" x14ac:dyDescent="0.3">
      <c r="A286">
        <v>2021</v>
      </c>
      <c r="B286" t="s">
        <v>120</v>
      </c>
      <c r="C286">
        <v>85</v>
      </c>
      <c r="D286">
        <v>1.0047619047619001</v>
      </c>
    </row>
    <row r="287" spans="1:4" x14ac:dyDescent="0.3">
      <c r="A287">
        <v>2022</v>
      </c>
      <c r="B287" t="s">
        <v>120</v>
      </c>
      <c r="C287">
        <v>0</v>
      </c>
      <c r="D287">
        <v>0</v>
      </c>
    </row>
    <row r="288" spans="1:4" x14ac:dyDescent="0.3">
      <c r="A288">
        <v>2022</v>
      </c>
      <c r="B288" t="s">
        <v>120</v>
      </c>
      <c r="C288">
        <v>5</v>
      </c>
      <c r="D288">
        <v>0</v>
      </c>
    </row>
    <row r="289" spans="1:4" x14ac:dyDescent="0.3">
      <c r="A289">
        <v>2022</v>
      </c>
      <c r="B289" t="s">
        <v>120</v>
      </c>
      <c r="C289">
        <v>10</v>
      </c>
      <c r="D289">
        <v>1.01162790697674</v>
      </c>
    </row>
    <row r="290" spans="1:4" x14ac:dyDescent="0.3">
      <c r="A290">
        <v>2022</v>
      </c>
      <c r="B290" t="s">
        <v>120</v>
      </c>
      <c r="C290">
        <v>15</v>
      </c>
      <c r="D290">
        <v>6.0697674418604697</v>
      </c>
    </row>
    <row r="291" spans="1:4" x14ac:dyDescent="0.3">
      <c r="A291">
        <v>2022</v>
      </c>
      <c r="B291" t="s">
        <v>120</v>
      </c>
      <c r="C291">
        <v>20</v>
      </c>
      <c r="D291">
        <v>22.255813953488399</v>
      </c>
    </row>
    <row r="292" spans="1:4" x14ac:dyDescent="0.3">
      <c r="A292">
        <v>2022</v>
      </c>
      <c r="B292" t="s">
        <v>120</v>
      </c>
      <c r="C292">
        <v>25</v>
      </c>
      <c r="D292">
        <v>27.3139534883721</v>
      </c>
    </row>
    <row r="293" spans="1:4" x14ac:dyDescent="0.3">
      <c r="A293">
        <v>2022</v>
      </c>
      <c r="B293" t="s">
        <v>120</v>
      </c>
      <c r="C293">
        <v>30</v>
      </c>
      <c r="D293">
        <v>38.441860465116299</v>
      </c>
    </row>
    <row r="294" spans="1:4" x14ac:dyDescent="0.3">
      <c r="A294">
        <v>2022</v>
      </c>
      <c r="B294" t="s">
        <v>120</v>
      </c>
      <c r="C294">
        <v>35</v>
      </c>
      <c r="D294">
        <v>18.209302325581401</v>
      </c>
    </row>
    <row r="295" spans="1:4" x14ac:dyDescent="0.3">
      <c r="A295">
        <v>2022</v>
      </c>
      <c r="B295" t="s">
        <v>120</v>
      </c>
      <c r="C295">
        <v>40</v>
      </c>
      <c r="D295">
        <v>13.1511627906977</v>
      </c>
    </row>
    <row r="296" spans="1:4" x14ac:dyDescent="0.3">
      <c r="A296">
        <v>2022</v>
      </c>
      <c r="B296" t="s">
        <v>120</v>
      </c>
      <c r="C296">
        <v>45</v>
      </c>
      <c r="D296">
        <v>11.1279069767442</v>
      </c>
    </row>
    <row r="297" spans="1:4" x14ac:dyDescent="0.3">
      <c r="A297">
        <v>2022</v>
      </c>
      <c r="B297" t="s">
        <v>120</v>
      </c>
      <c r="C297">
        <v>50</v>
      </c>
      <c r="D297">
        <v>12.1395348837209</v>
      </c>
    </row>
    <row r="298" spans="1:4" x14ac:dyDescent="0.3">
      <c r="A298">
        <v>2022</v>
      </c>
      <c r="B298" t="s">
        <v>120</v>
      </c>
      <c r="C298">
        <v>55</v>
      </c>
      <c r="D298">
        <v>5.0581395348837201</v>
      </c>
    </row>
    <row r="299" spans="1:4" x14ac:dyDescent="0.3">
      <c r="A299">
        <v>2022</v>
      </c>
      <c r="B299" t="s">
        <v>120</v>
      </c>
      <c r="C299">
        <v>60</v>
      </c>
      <c r="D299">
        <v>14.162790697674399</v>
      </c>
    </row>
    <row r="300" spans="1:4" x14ac:dyDescent="0.3">
      <c r="A300">
        <v>2022</v>
      </c>
      <c r="B300" t="s">
        <v>120</v>
      </c>
      <c r="C300">
        <v>65</v>
      </c>
      <c r="D300">
        <v>3.03488372093023</v>
      </c>
    </row>
    <row r="301" spans="1:4" x14ac:dyDescent="0.3">
      <c r="A301">
        <v>2022</v>
      </c>
      <c r="B301" t="s">
        <v>120</v>
      </c>
      <c r="C301">
        <v>70</v>
      </c>
      <c r="D301">
        <v>1.01162790697674</v>
      </c>
    </row>
    <row r="302" spans="1:4" x14ac:dyDescent="0.3">
      <c r="A302">
        <v>2022</v>
      </c>
      <c r="B302" t="s">
        <v>120</v>
      </c>
      <c r="C302">
        <v>80</v>
      </c>
      <c r="D302">
        <v>1.01162790697674</v>
      </c>
    </row>
    <row r="303" spans="1:4" x14ac:dyDescent="0.3">
      <c r="A303">
        <v>2023</v>
      </c>
      <c r="B303" t="s">
        <v>120</v>
      </c>
      <c r="C303">
        <v>0</v>
      </c>
      <c r="D303">
        <v>0</v>
      </c>
    </row>
    <row r="304" spans="1:4" x14ac:dyDescent="0.3">
      <c r="A304">
        <v>2023</v>
      </c>
      <c r="B304" t="s">
        <v>120</v>
      </c>
      <c r="C304">
        <v>1</v>
      </c>
      <c r="D304">
        <v>0</v>
      </c>
    </row>
    <row r="305" spans="1:4" x14ac:dyDescent="0.3">
      <c r="A305">
        <v>2023</v>
      </c>
      <c r="B305" t="s">
        <v>120</v>
      </c>
      <c r="C305">
        <v>5</v>
      </c>
      <c r="D305">
        <v>2.02</v>
      </c>
    </row>
    <row r="306" spans="1:4" x14ac:dyDescent="0.3">
      <c r="A306">
        <v>2023</v>
      </c>
      <c r="B306" t="s">
        <v>120</v>
      </c>
      <c r="C306">
        <v>15</v>
      </c>
      <c r="D306">
        <v>12.12</v>
      </c>
    </row>
    <row r="307" spans="1:4" x14ac:dyDescent="0.3">
      <c r="A307">
        <v>2023</v>
      </c>
      <c r="B307" t="s">
        <v>120</v>
      </c>
      <c r="C307">
        <v>20</v>
      </c>
      <c r="D307">
        <v>22.22</v>
      </c>
    </row>
    <row r="308" spans="1:4" x14ac:dyDescent="0.3">
      <c r="A308">
        <v>2023</v>
      </c>
      <c r="B308" t="s">
        <v>120</v>
      </c>
      <c r="C308">
        <v>25</v>
      </c>
      <c r="D308">
        <v>30.3</v>
      </c>
    </row>
    <row r="309" spans="1:4" x14ac:dyDescent="0.3">
      <c r="A309">
        <v>2023</v>
      </c>
      <c r="B309" t="s">
        <v>120</v>
      </c>
      <c r="C309">
        <v>30</v>
      </c>
      <c r="D309">
        <v>32.32</v>
      </c>
    </row>
    <row r="310" spans="1:4" x14ac:dyDescent="0.3">
      <c r="A310">
        <v>2023</v>
      </c>
      <c r="B310" t="s">
        <v>120</v>
      </c>
      <c r="C310">
        <v>35</v>
      </c>
      <c r="D310">
        <v>31.31</v>
      </c>
    </row>
    <row r="311" spans="1:4" x14ac:dyDescent="0.3">
      <c r="A311">
        <v>2023</v>
      </c>
      <c r="B311" t="s">
        <v>120</v>
      </c>
      <c r="C311">
        <v>40</v>
      </c>
      <c r="D311">
        <v>22.22</v>
      </c>
    </row>
    <row r="312" spans="1:4" x14ac:dyDescent="0.3">
      <c r="A312">
        <v>2023</v>
      </c>
      <c r="B312" t="s">
        <v>120</v>
      </c>
      <c r="C312">
        <v>45</v>
      </c>
      <c r="D312">
        <v>13.13</v>
      </c>
    </row>
    <row r="313" spans="1:4" x14ac:dyDescent="0.3">
      <c r="A313">
        <v>2023</v>
      </c>
      <c r="B313" t="s">
        <v>120</v>
      </c>
      <c r="C313">
        <v>50</v>
      </c>
      <c r="D313">
        <v>5.05</v>
      </c>
    </row>
    <row r="314" spans="1:4" x14ac:dyDescent="0.3">
      <c r="A314">
        <v>2023</v>
      </c>
      <c r="B314" t="s">
        <v>120</v>
      </c>
      <c r="C314">
        <v>55</v>
      </c>
      <c r="D314">
        <v>16.16</v>
      </c>
    </row>
    <row r="315" spans="1:4" x14ac:dyDescent="0.3">
      <c r="A315">
        <v>2023</v>
      </c>
      <c r="B315" t="s">
        <v>120</v>
      </c>
      <c r="C315">
        <v>60</v>
      </c>
      <c r="D315">
        <v>10.1</v>
      </c>
    </row>
    <row r="316" spans="1:4" x14ac:dyDescent="0.3">
      <c r="A316">
        <v>2023</v>
      </c>
      <c r="B316" t="s">
        <v>120</v>
      </c>
      <c r="C316">
        <v>65</v>
      </c>
      <c r="D316">
        <v>3.03</v>
      </c>
    </row>
    <row r="317" spans="1:4" x14ac:dyDescent="0.3">
      <c r="A317">
        <v>2023</v>
      </c>
      <c r="B317" t="s">
        <v>120</v>
      </c>
      <c r="C317">
        <v>70</v>
      </c>
      <c r="D317">
        <v>0</v>
      </c>
    </row>
    <row r="318" spans="1:4" x14ac:dyDescent="0.3">
      <c r="A318">
        <v>2023</v>
      </c>
      <c r="B318" t="s">
        <v>120</v>
      </c>
      <c r="C318">
        <v>75</v>
      </c>
      <c r="D318">
        <v>1.01</v>
      </c>
    </row>
    <row r="319" spans="1:4" x14ac:dyDescent="0.3">
      <c r="A319">
        <v>2023</v>
      </c>
      <c r="B319" t="s">
        <v>120</v>
      </c>
      <c r="C319">
        <v>80</v>
      </c>
      <c r="D319">
        <v>0</v>
      </c>
    </row>
    <row r="320" spans="1:4" x14ac:dyDescent="0.3">
      <c r="A320">
        <v>2023</v>
      </c>
      <c r="B320" t="s">
        <v>120</v>
      </c>
      <c r="C320">
        <v>85</v>
      </c>
      <c r="D320">
        <v>1.01</v>
      </c>
    </row>
    <row r="321" spans="1:4" x14ac:dyDescent="0.3">
      <c r="A321">
        <v>1990</v>
      </c>
      <c r="B321" t="s">
        <v>121</v>
      </c>
      <c r="C321">
        <v>0</v>
      </c>
      <c r="D321" t="s">
        <v>133</v>
      </c>
    </row>
    <row r="322" spans="1:4" x14ac:dyDescent="0.3">
      <c r="A322">
        <v>1990</v>
      </c>
      <c r="B322" t="s">
        <v>121</v>
      </c>
      <c r="C322">
        <v>1</v>
      </c>
      <c r="D322" t="s">
        <v>133</v>
      </c>
    </row>
    <row r="323" spans="1:4" x14ac:dyDescent="0.3">
      <c r="A323">
        <v>1990</v>
      </c>
      <c r="B323" t="s">
        <v>121</v>
      </c>
      <c r="C323">
        <v>5</v>
      </c>
      <c r="D323" t="s">
        <v>133</v>
      </c>
    </row>
    <row r="324" spans="1:4" x14ac:dyDescent="0.3">
      <c r="A324">
        <v>1990</v>
      </c>
      <c r="B324" t="s">
        <v>121</v>
      </c>
      <c r="C324">
        <v>10</v>
      </c>
      <c r="D324" t="s">
        <v>133</v>
      </c>
    </row>
    <row r="325" spans="1:4" x14ac:dyDescent="0.3">
      <c r="A325">
        <v>1990</v>
      </c>
      <c r="B325" t="s">
        <v>121</v>
      </c>
      <c r="C325">
        <v>15</v>
      </c>
      <c r="D325" t="s">
        <v>133</v>
      </c>
    </row>
    <row r="326" spans="1:4" x14ac:dyDescent="0.3">
      <c r="A326">
        <v>1990</v>
      </c>
      <c r="B326" t="s">
        <v>121</v>
      </c>
      <c r="C326">
        <v>20</v>
      </c>
      <c r="D326" t="s">
        <v>133</v>
      </c>
    </row>
    <row r="327" spans="1:4" x14ac:dyDescent="0.3">
      <c r="A327">
        <v>1990</v>
      </c>
      <c r="B327" t="s">
        <v>121</v>
      </c>
      <c r="C327">
        <v>25</v>
      </c>
      <c r="D327" t="s">
        <v>133</v>
      </c>
    </row>
    <row r="328" spans="1:4" x14ac:dyDescent="0.3">
      <c r="A328">
        <v>1990</v>
      </c>
      <c r="B328" t="s">
        <v>121</v>
      </c>
      <c r="C328">
        <v>30</v>
      </c>
      <c r="D328" t="s">
        <v>133</v>
      </c>
    </row>
    <row r="329" spans="1:4" x14ac:dyDescent="0.3">
      <c r="A329">
        <v>1990</v>
      </c>
      <c r="B329" t="s">
        <v>121</v>
      </c>
      <c r="C329">
        <v>35</v>
      </c>
      <c r="D329" t="s">
        <v>133</v>
      </c>
    </row>
    <row r="330" spans="1:4" x14ac:dyDescent="0.3">
      <c r="A330">
        <v>1990</v>
      </c>
      <c r="B330" t="s">
        <v>121</v>
      </c>
      <c r="C330">
        <v>40</v>
      </c>
      <c r="D330" t="s">
        <v>133</v>
      </c>
    </row>
    <row r="331" spans="1:4" x14ac:dyDescent="0.3">
      <c r="A331">
        <v>1990</v>
      </c>
      <c r="B331" t="s">
        <v>121</v>
      </c>
      <c r="C331">
        <v>45</v>
      </c>
      <c r="D331" t="s">
        <v>133</v>
      </c>
    </row>
    <row r="332" spans="1:4" x14ac:dyDescent="0.3">
      <c r="A332">
        <v>1990</v>
      </c>
      <c r="B332" t="s">
        <v>121</v>
      </c>
      <c r="C332">
        <v>50</v>
      </c>
      <c r="D332" t="s">
        <v>133</v>
      </c>
    </row>
    <row r="333" spans="1:4" x14ac:dyDescent="0.3">
      <c r="A333">
        <v>1990</v>
      </c>
      <c r="B333" t="s">
        <v>121</v>
      </c>
      <c r="C333">
        <v>55</v>
      </c>
      <c r="D333" t="s">
        <v>133</v>
      </c>
    </row>
    <row r="334" spans="1:4" x14ac:dyDescent="0.3">
      <c r="A334">
        <v>1990</v>
      </c>
      <c r="B334" t="s">
        <v>121</v>
      </c>
      <c r="C334">
        <v>60</v>
      </c>
      <c r="D334" t="s">
        <v>133</v>
      </c>
    </row>
    <row r="335" spans="1:4" x14ac:dyDescent="0.3">
      <c r="A335">
        <v>1990</v>
      </c>
      <c r="B335" t="s">
        <v>121</v>
      </c>
      <c r="C335">
        <v>65</v>
      </c>
      <c r="D335" t="s">
        <v>133</v>
      </c>
    </row>
    <row r="336" spans="1:4" x14ac:dyDescent="0.3">
      <c r="A336">
        <v>1990</v>
      </c>
      <c r="B336" t="s">
        <v>121</v>
      </c>
      <c r="C336">
        <v>70</v>
      </c>
      <c r="D336" t="s">
        <v>133</v>
      </c>
    </row>
    <row r="337" spans="1:4" x14ac:dyDescent="0.3">
      <c r="A337">
        <v>1990</v>
      </c>
      <c r="B337" t="s">
        <v>121</v>
      </c>
      <c r="C337">
        <v>75</v>
      </c>
      <c r="D337" t="s">
        <v>133</v>
      </c>
    </row>
    <row r="338" spans="1:4" x14ac:dyDescent="0.3">
      <c r="A338">
        <v>1990</v>
      </c>
      <c r="B338" t="s">
        <v>121</v>
      </c>
      <c r="C338">
        <v>80</v>
      </c>
      <c r="D338" t="s">
        <v>133</v>
      </c>
    </row>
    <row r="339" spans="1:4" x14ac:dyDescent="0.3">
      <c r="A339">
        <v>1990</v>
      </c>
      <c r="B339" t="s">
        <v>121</v>
      </c>
      <c r="C339">
        <v>85</v>
      </c>
      <c r="D339" t="s">
        <v>133</v>
      </c>
    </row>
    <row r="340" spans="1:4" x14ac:dyDescent="0.3">
      <c r="A340">
        <v>1991</v>
      </c>
      <c r="B340" t="s">
        <v>121</v>
      </c>
      <c r="C340">
        <v>0</v>
      </c>
      <c r="D340">
        <v>2</v>
      </c>
    </row>
    <row r="341" spans="1:4" x14ac:dyDescent="0.3">
      <c r="A341">
        <v>1991</v>
      </c>
      <c r="B341" t="s">
        <v>121</v>
      </c>
      <c r="C341">
        <v>5</v>
      </c>
      <c r="D341">
        <v>0</v>
      </c>
    </row>
    <row r="342" spans="1:4" x14ac:dyDescent="0.3">
      <c r="A342">
        <v>1991</v>
      </c>
      <c r="B342" t="s">
        <v>121</v>
      </c>
      <c r="C342">
        <v>10</v>
      </c>
      <c r="D342">
        <v>1</v>
      </c>
    </row>
    <row r="343" spans="1:4" x14ac:dyDescent="0.3">
      <c r="A343">
        <v>1991</v>
      </c>
      <c r="B343" t="s">
        <v>121</v>
      </c>
      <c r="C343">
        <v>15</v>
      </c>
      <c r="D343">
        <v>0</v>
      </c>
    </row>
    <row r="344" spans="1:4" x14ac:dyDescent="0.3">
      <c r="A344">
        <v>1991</v>
      </c>
      <c r="B344" t="s">
        <v>121</v>
      </c>
      <c r="C344">
        <v>20</v>
      </c>
      <c r="D344">
        <v>0</v>
      </c>
    </row>
    <row r="345" spans="1:4" x14ac:dyDescent="0.3">
      <c r="A345">
        <v>1991</v>
      </c>
      <c r="B345" t="s">
        <v>121</v>
      </c>
      <c r="C345">
        <v>25</v>
      </c>
      <c r="D345">
        <v>2</v>
      </c>
    </row>
    <row r="346" spans="1:4" x14ac:dyDescent="0.3">
      <c r="A346">
        <v>1991</v>
      </c>
      <c r="B346" t="s">
        <v>121</v>
      </c>
      <c r="C346">
        <v>30</v>
      </c>
      <c r="D346">
        <v>1</v>
      </c>
    </row>
    <row r="347" spans="1:4" x14ac:dyDescent="0.3">
      <c r="A347">
        <v>1991</v>
      </c>
      <c r="B347" t="s">
        <v>121</v>
      </c>
      <c r="C347">
        <v>35</v>
      </c>
      <c r="D347">
        <v>0</v>
      </c>
    </row>
    <row r="348" spans="1:4" x14ac:dyDescent="0.3">
      <c r="A348">
        <v>1991</v>
      </c>
      <c r="B348" t="s">
        <v>121</v>
      </c>
      <c r="C348">
        <v>40</v>
      </c>
      <c r="D348">
        <v>0</v>
      </c>
    </row>
    <row r="349" spans="1:4" x14ac:dyDescent="0.3">
      <c r="A349">
        <v>1991</v>
      </c>
      <c r="B349" t="s">
        <v>121</v>
      </c>
      <c r="C349">
        <v>45</v>
      </c>
      <c r="D349">
        <v>0</v>
      </c>
    </row>
    <row r="350" spans="1:4" x14ac:dyDescent="0.3">
      <c r="A350">
        <v>1991</v>
      </c>
      <c r="B350" t="s">
        <v>121</v>
      </c>
      <c r="C350">
        <v>50</v>
      </c>
      <c r="D350">
        <v>1</v>
      </c>
    </row>
    <row r="351" spans="1:4" x14ac:dyDescent="0.3">
      <c r="A351">
        <v>1991</v>
      </c>
      <c r="B351" t="s">
        <v>121</v>
      </c>
      <c r="C351">
        <v>55</v>
      </c>
      <c r="D351">
        <v>0</v>
      </c>
    </row>
    <row r="352" spans="1:4" x14ac:dyDescent="0.3">
      <c r="A352">
        <v>1991</v>
      </c>
      <c r="B352" t="s">
        <v>121</v>
      </c>
      <c r="C352">
        <v>60</v>
      </c>
      <c r="D352">
        <v>0</v>
      </c>
    </row>
    <row r="353" spans="1:4" x14ac:dyDescent="0.3">
      <c r="A353">
        <v>1991</v>
      </c>
      <c r="B353" t="s">
        <v>121</v>
      </c>
      <c r="C353">
        <v>65</v>
      </c>
      <c r="D353">
        <v>0</v>
      </c>
    </row>
    <row r="354" spans="1:4" x14ac:dyDescent="0.3">
      <c r="A354">
        <v>1991</v>
      </c>
      <c r="B354" t="s">
        <v>121</v>
      </c>
      <c r="C354">
        <v>70</v>
      </c>
      <c r="D354">
        <v>0</v>
      </c>
    </row>
    <row r="355" spans="1:4" x14ac:dyDescent="0.3">
      <c r="A355">
        <v>1993</v>
      </c>
      <c r="B355" t="s">
        <v>121</v>
      </c>
      <c r="C355">
        <v>0</v>
      </c>
      <c r="D355" t="s">
        <v>133</v>
      </c>
    </row>
    <row r="356" spans="1:4" x14ac:dyDescent="0.3">
      <c r="A356">
        <v>1993</v>
      </c>
      <c r="B356" t="s">
        <v>121</v>
      </c>
      <c r="C356">
        <v>1</v>
      </c>
      <c r="D356" t="s">
        <v>133</v>
      </c>
    </row>
    <row r="357" spans="1:4" x14ac:dyDescent="0.3">
      <c r="A357">
        <v>1993</v>
      </c>
      <c r="B357" t="s">
        <v>121</v>
      </c>
      <c r="C357">
        <v>5</v>
      </c>
      <c r="D357" t="s">
        <v>133</v>
      </c>
    </row>
    <row r="358" spans="1:4" x14ac:dyDescent="0.3">
      <c r="A358">
        <v>1993</v>
      </c>
      <c r="B358" t="s">
        <v>121</v>
      </c>
      <c r="C358">
        <v>10</v>
      </c>
      <c r="D358" t="s">
        <v>133</v>
      </c>
    </row>
    <row r="359" spans="1:4" x14ac:dyDescent="0.3">
      <c r="A359">
        <v>1993</v>
      </c>
      <c r="B359" t="s">
        <v>121</v>
      </c>
      <c r="C359">
        <v>15</v>
      </c>
      <c r="D359" t="s">
        <v>133</v>
      </c>
    </row>
    <row r="360" spans="1:4" x14ac:dyDescent="0.3">
      <c r="A360">
        <v>1993</v>
      </c>
      <c r="B360" t="s">
        <v>121</v>
      </c>
      <c r="C360">
        <v>20</v>
      </c>
      <c r="D360" t="s">
        <v>133</v>
      </c>
    </row>
    <row r="361" spans="1:4" x14ac:dyDescent="0.3">
      <c r="A361">
        <v>1993</v>
      </c>
      <c r="B361" t="s">
        <v>121</v>
      </c>
      <c r="C361">
        <v>25</v>
      </c>
      <c r="D361" t="s">
        <v>133</v>
      </c>
    </row>
    <row r="362" spans="1:4" x14ac:dyDescent="0.3">
      <c r="A362">
        <v>1993</v>
      </c>
      <c r="B362" t="s">
        <v>121</v>
      </c>
      <c r="C362">
        <v>30</v>
      </c>
      <c r="D362" t="s">
        <v>133</v>
      </c>
    </row>
    <row r="363" spans="1:4" x14ac:dyDescent="0.3">
      <c r="A363">
        <v>1993</v>
      </c>
      <c r="B363" t="s">
        <v>121</v>
      </c>
      <c r="C363">
        <v>35</v>
      </c>
      <c r="D363" t="s">
        <v>133</v>
      </c>
    </row>
    <row r="364" spans="1:4" x14ac:dyDescent="0.3">
      <c r="A364">
        <v>1993</v>
      </c>
      <c r="B364" t="s">
        <v>121</v>
      </c>
      <c r="C364">
        <v>40</v>
      </c>
      <c r="D364" t="s">
        <v>133</v>
      </c>
    </row>
    <row r="365" spans="1:4" x14ac:dyDescent="0.3">
      <c r="A365">
        <v>1993</v>
      </c>
      <c r="B365" t="s">
        <v>121</v>
      </c>
      <c r="C365">
        <v>45</v>
      </c>
      <c r="D365" t="s">
        <v>133</v>
      </c>
    </row>
    <row r="366" spans="1:4" x14ac:dyDescent="0.3">
      <c r="A366">
        <v>1993</v>
      </c>
      <c r="B366" t="s">
        <v>121</v>
      </c>
      <c r="C366">
        <v>50</v>
      </c>
      <c r="D366" t="s">
        <v>133</v>
      </c>
    </row>
    <row r="367" spans="1:4" x14ac:dyDescent="0.3">
      <c r="A367">
        <v>1993</v>
      </c>
      <c r="B367" t="s">
        <v>121</v>
      </c>
      <c r="C367">
        <v>55</v>
      </c>
      <c r="D367" t="s">
        <v>133</v>
      </c>
    </row>
    <row r="368" spans="1:4" x14ac:dyDescent="0.3">
      <c r="A368">
        <v>1993</v>
      </c>
      <c r="B368" t="s">
        <v>121</v>
      </c>
      <c r="C368">
        <v>60</v>
      </c>
      <c r="D368" t="s">
        <v>133</v>
      </c>
    </row>
    <row r="369" spans="1:4" x14ac:dyDescent="0.3">
      <c r="A369">
        <v>1993</v>
      </c>
      <c r="B369" t="s">
        <v>121</v>
      </c>
      <c r="C369">
        <v>65</v>
      </c>
      <c r="D369" t="s">
        <v>133</v>
      </c>
    </row>
    <row r="370" spans="1:4" x14ac:dyDescent="0.3">
      <c r="A370">
        <v>1993</v>
      </c>
      <c r="B370" t="s">
        <v>121</v>
      </c>
      <c r="C370">
        <v>70</v>
      </c>
      <c r="D370" t="s">
        <v>133</v>
      </c>
    </row>
    <row r="371" spans="1:4" x14ac:dyDescent="0.3">
      <c r="A371">
        <v>1996</v>
      </c>
      <c r="B371" t="s">
        <v>121</v>
      </c>
      <c r="C371">
        <v>0</v>
      </c>
      <c r="D371">
        <v>0</v>
      </c>
    </row>
    <row r="372" spans="1:4" x14ac:dyDescent="0.3">
      <c r="A372">
        <v>1996</v>
      </c>
      <c r="B372" t="s">
        <v>121</v>
      </c>
      <c r="C372">
        <v>1</v>
      </c>
      <c r="D372">
        <v>1.1666666666666701</v>
      </c>
    </row>
    <row r="373" spans="1:4" x14ac:dyDescent="0.3">
      <c r="A373">
        <v>1996</v>
      </c>
      <c r="B373" t="s">
        <v>121</v>
      </c>
      <c r="C373">
        <v>5</v>
      </c>
      <c r="D373">
        <v>1.1666666666666701</v>
      </c>
    </row>
    <row r="374" spans="1:4" x14ac:dyDescent="0.3">
      <c r="A374">
        <v>1996</v>
      </c>
      <c r="B374" t="s">
        <v>121</v>
      </c>
      <c r="C374">
        <v>10</v>
      </c>
      <c r="D374">
        <v>0</v>
      </c>
    </row>
    <row r="375" spans="1:4" x14ac:dyDescent="0.3">
      <c r="A375">
        <v>1996</v>
      </c>
      <c r="B375" t="s">
        <v>121</v>
      </c>
      <c r="C375">
        <v>15</v>
      </c>
      <c r="D375">
        <v>0</v>
      </c>
    </row>
    <row r="376" spans="1:4" x14ac:dyDescent="0.3">
      <c r="A376">
        <v>1996</v>
      </c>
      <c r="B376" t="s">
        <v>121</v>
      </c>
      <c r="C376">
        <v>20</v>
      </c>
      <c r="D376">
        <v>1.1666666666666701</v>
      </c>
    </row>
    <row r="377" spans="1:4" x14ac:dyDescent="0.3">
      <c r="A377">
        <v>1996</v>
      </c>
      <c r="B377" t="s">
        <v>121</v>
      </c>
      <c r="C377">
        <v>25</v>
      </c>
      <c r="D377">
        <v>1.1666666666666701</v>
      </c>
    </row>
    <row r="378" spans="1:4" x14ac:dyDescent="0.3">
      <c r="A378">
        <v>1996</v>
      </c>
      <c r="B378" t="s">
        <v>121</v>
      </c>
      <c r="C378">
        <v>30</v>
      </c>
      <c r="D378">
        <v>1.1666666666666701</v>
      </c>
    </row>
    <row r="379" spans="1:4" x14ac:dyDescent="0.3">
      <c r="A379">
        <v>1996</v>
      </c>
      <c r="B379" t="s">
        <v>121</v>
      </c>
      <c r="C379">
        <v>35</v>
      </c>
      <c r="D379">
        <v>1.1666666666666701</v>
      </c>
    </row>
    <row r="380" spans="1:4" x14ac:dyDescent="0.3">
      <c r="A380">
        <v>1996</v>
      </c>
      <c r="B380" t="s">
        <v>121</v>
      </c>
      <c r="C380">
        <v>40</v>
      </c>
      <c r="D380">
        <v>3.5</v>
      </c>
    </row>
    <row r="381" spans="1:4" x14ac:dyDescent="0.3">
      <c r="A381">
        <v>1996</v>
      </c>
      <c r="B381" t="s">
        <v>121</v>
      </c>
      <c r="C381">
        <v>45</v>
      </c>
      <c r="D381">
        <v>0</v>
      </c>
    </row>
    <row r="382" spans="1:4" x14ac:dyDescent="0.3">
      <c r="A382">
        <v>1996</v>
      </c>
      <c r="B382" t="s">
        <v>121</v>
      </c>
      <c r="C382">
        <v>50</v>
      </c>
      <c r="D382">
        <v>0</v>
      </c>
    </row>
    <row r="383" spans="1:4" x14ac:dyDescent="0.3">
      <c r="A383">
        <v>1996</v>
      </c>
      <c r="B383" t="s">
        <v>121</v>
      </c>
      <c r="C383">
        <v>55</v>
      </c>
      <c r="D383">
        <v>1.1666666666666701</v>
      </c>
    </row>
    <row r="384" spans="1:4" x14ac:dyDescent="0.3">
      <c r="A384">
        <v>1996</v>
      </c>
      <c r="B384" t="s">
        <v>121</v>
      </c>
      <c r="C384">
        <v>60</v>
      </c>
      <c r="D384">
        <v>0</v>
      </c>
    </row>
    <row r="385" spans="1:4" x14ac:dyDescent="0.3">
      <c r="A385">
        <v>1996</v>
      </c>
      <c r="B385" t="s">
        <v>121</v>
      </c>
      <c r="C385">
        <v>65</v>
      </c>
      <c r="D385">
        <v>1.1666666666666701</v>
      </c>
    </row>
    <row r="386" spans="1:4" x14ac:dyDescent="0.3">
      <c r="A386">
        <v>1996</v>
      </c>
      <c r="B386" t="s">
        <v>121</v>
      </c>
      <c r="C386">
        <v>70</v>
      </c>
      <c r="D386">
        <v>0</v>
      </c>
    </row>
    <row r="387" spans="1:4" x14ac:dyDescent="0.3">
      <c r="A387">
        <v>1996</v>
      </c>
      <c r="B387" t="s">
        <v>121</v>
      </c>
      <c r="C387">
        <v>75</v>
      </c>
      <c r="D387">
        <v>1.1666666666666701</v>
      </c>
    </row>
    <row r="388" spans="1:4" x14ac:dyDescent="0.3">
      <c r="A388">
        <v>1997</v>
      </c>
      <c r="B388" t="s">
        <v>121</v>
      </c>
      <c r="C388">
        <v>5</v>
      </c>
      <c r="D388">
        <v>1</v>
      </c>
    </row>
    <row r="389" spans="1:4" x14ac:dyDescent="0.3">
      <c r="A389">
        <v>1997</v>
      </c>
      <c r="B389" t="s">
        <v>121</v>
      </c>
      <c r="C389">
        <v>10</v>
      </c>
      <c r="D389">
        <v>0</v>
      </c>
    </row>
    <row r="390" spans="1:4" x14ac:dyDescent="0.3">
      <c r="A390">
        <v>1997</v>
      </c>
      <c r="B390" t="s">
        <v>121</v>
      </c>
      <c r="C390">
        <v>15</v>
      </c>
      <c r="D390">
        <v>6</v>
      </c>
    </row>
    <row r="391" spans="1:4" x14ac:dyDescent="0.3">
      <c r="A391">
        <v>1997</v>
      </c>
      <c r="B391" t="s">
        <v>121</v>
      </c>
      <c r="C391">
        <v>20</v>
      </c>
      <c r="D391">
        <v>4</v>
      </c>
    </row>
    <row r="392" spans="1:4" x14ac:dyDescent="0.3">
      <c r="A392">
        <v>1997</v>
      </c>
      <c r="B392" t="s">
        <v>121</v>
      </c>
      <c r="C392">
        <v>25</v>
      </c>
      <c r="D392">
        <v>0</v>
      </c>
    </row>
    <row r="393" spans="1:4" x14ac:dyDescent="0.3">
      <c r="A393">
        <v>1997</v>
      </c>
      <c r="B393" t="s">
        <v>121</v>
      </c>
      <c r="C393">
        <v>30</v>
      </c>
      <c r="D393">
        <v>0</v>
      </c>
    </row>
    <row r="394" spans="1:4" x14ac:dyDescent="0.3">
      <c r="A394">
        <v>1997</v>
      </c>
      <c r="B394" t="s">
        <v>121</v>
      </c>
      <c r="C394">
        <v>35</v>
      </c>
      <c r="D394">
        <v>1</v>
      </c>
    </row>
    <row r="395" spans="1:4" x14ac:dyDescent="0.3">
      <c r="A395">
        <v>1997</v>
      </c>
      <c r="B395" t="s">
        <v>121</v>
      </c>
      <c r="C395">
        <v>40</v>
      </c>
      <c r="D395">
        <v>0</v>
      </c>
    </row>
    <row r="396" spans="1:4" x14ac:dyDescent="0.3">
      <c r="A396">
        <v>1997</v>
      </c>
      <c r="B396" t="s">
        <v>121</v>
      </c>
      <c r="C396">
        <v>45</v>
      </c>
      <c r="D396">
        <v>0</v>
      </c>
    </row>
    <row r="397" spans="1:4" x14ac:dyDescent="0.3">
      <c r="A397">
        <v>1997</v>
      </c>
      <c r="B397" t="s">
        <v>121</v>
      </c>
      <c r="C397">
        <v>50</v>
      </c>
      <c r="D397">
        <v>0</v>
      </c>
    </row>
    <row r="398" spans="1:4" x14ac:dyDescent="0.3">
      <c r="A398">
        <v>1997</v>
      </c>
      <c r="B398" t="s">
        <v>121</v>
      </c>
      <c r="C398">
        <v>55</v>
      </c>
      <c r="D398">
        <v>0</v>
      </c>
    </row>
    <row r="399" spans="1:4" x14ac:dyDescent="0.3">
      <c r="A399">
        <v>1997</v>
      </c>
      <c r="B399" t="s">
        <v>121</v>
      </c>
      <c r="C399">
        <v>60</v>
      </c>
      <c r="D399">
        <v>0</v>
      </c>
    </row>
    <row r="400" spans="1:4" x14ac:dyDescent="0.3">
      <c r="A400">
        <v>1997</v>
      </c>
      <c r="B400" t="s">
        <v>121</v>
      </c>
      <c r="C400">
        <v>65</v>
      </c>
      <c r="D400">
        <v>1</v>
      </c>
    </row>
    <row r="401" spans="1:4" x14ac:dyDescent="0.3">
      <c r="A401">
        <v>1997</v>
      </c>
      <c r="B401" t="s">
        <v>121</v>
      </c>
      <c r="C401">
        <v>70</v>
      </c>
      <c r="D401">
        <v>1</v>
      </c>
    </row>
    <row r="402" spans="1:4" x14ac:dyDescent="0.3">
      <c r="A402">
        <v>1997</v>
      </c>
      <c r="B402" t="s">
        <v>121</v>
      </c>
      <c r="C402">
        <v>85</v>
      </c>
      <c r="D402">
        <v>1</v>
      </c>
    </row>
    <row r="403" spans="1:4" x14ac:dyDescent="0.3">
      <c r="A403">
        <v>1998</v>
      </c>
      <c r="B403" t="s">
        <v>121</v>
      </c>
      <c r="C403">
        <v>0</v>
      </c>
      <c r="D403">
        <v>1</v>
      </c>
    </row>
    <row r="404" spans="1:4" x14ac:dyDescent="0.3">
      <c r="A404">
        <v>1998</v>
      </c>
      <c r="B404" t="s">
        <v>121</v>
      </c>
      <c r="C404">
        <v>15</v>
      </c>
      <c r="D404">
        <v>0</v>
      </c>
    </row>
    <row r="405" spans="1:4" x14ac:dyDescent="0.3">
      <c r="A405">
        <v>1998</v>
      </c>
      <c r="B405" t="s">
        <v>121</v>
      </c>
      <c r="C405">
        <v>20</v>
      </c>
      <c r="D405">
        <v>2</v>
      </c>
    </row>
    <row r="406" spans="1:4" x14ac:dyDescent="0.3">
      <c r="A406">
        <v>1998</v>
      </c>
      <c r="B406" t="s">
        <v>121</v>
      </c>
      <c r="C406">
        <v>25</v>
      </c>
      <c r="D406">
        <v>0</v>
      </c>
    </row>
    <row r="407" spans="1:4" x14ac:dyDescent="0.3">
      <c r="A407">
        <v>1998</v>
      </c>
      <c r="B407" t="s">
        <v>121</v>
      </c>
      <c r="C407">
        <v>30</v>
      </c>
      <c r="D407">
        <v>0</v>
      </c>
    </row>
    <row r="408" spans="1:4" x14ac:dyDescent="0.3">
      <c r="A408">
        <v>1998</v>
      </c>
      <c r="B408" t="s">
        <v>121</v>
      </c>
      <c r="C408">
        <v>35</v>
      </c>
      <c r="D408">
        <v>0</v>
      </c>
    </row>
    <row r="409" spans="1:4" x14ac:dyDescent="0.3">
      <c r="A409">
        <v>1998</v>
      </c>
      <c r="B409" t="s">
        <v>121</v>
      </c>
      <c r="C409">
        <v>40</v>
      </c>
      <c r="D409">
        <v>0</v>
      </c>
    </row>
    <row r="410" spans="1:4" x14ac:dyDescent="0.3">
      <c r="A410">
        <v>1998</v>
      </c>
      <c r="B410" t="s">
        <v>121</v>
      </c>
      <c r="C410">
        <v>45</v>
      </c>
      <c r="D410">
        <v>0</v>
      </c>
    </row>
    <row r="411" spans="1:4" x14ac:dyDescent="0.3">
      <c r="A411">
        <v>1998</v>
      </c>
      <c r="B411" t="s">
        <v>121</v>
      </c>
      <c r="C411">
        <v>50</v>
      </c>
      <c r="D411">
        <v>0</v>
      </c>
    </row>
    <row r="412" spans="1:4" x14ac:dyDescent="0.3">
      <c r="A412">
        <v>1998</v>
      </c>
      <c r="B412" t="s">
        <v>121</v>
      </c>
      <c r="C412">
        <v>55</v>
      </c>
      <c r="D412">
        <v>0</v>
      </c>
    </row>
    <row r="413" spans="1:4" x14ac:dyDescent="0.3">
      <c r="A413">
        <v>1998</v>
      </c>
      <c r="B413" t="s">
        <v>121</v>
      </c>
      <c r="C413">
        <v>60</v>
      </c>
      <c r="D413">
        <v>0</v>
      </c>
    </row>
    <row r="414" spans="1:4" x14ac:dyDescent="0.3">
      <c r="A414">
        <v>1998</v>
      </c>
      <c r="B414" t="s">
        <v>121</v>
      </c>
      <c r="C414">
        <v>65</v>
      </c>
      <c r="D414">
        <v>0</v>
      </c>
    </row>
    <row r="415" spans="1:4" x14ac:dyDescent="0.3">
      <c r="A415">
        <v>1998</v>
      </c>
      <c r="B415" t="s">
        <v>121</v>
      </c>
      <c r="C415">
        <v>70</v>
      </c>
      <c r="D415">
        <v>0</v>
      </c>
    </row>
    <row r="416" spans="1:4" x14ac:dyDescent="0.3">
      <c r="A416">
        <v>1998</v>
      </c>
      <c r="B416" t="s">
        <v>121</v>
      </c>
      <c r="C416">
        <v>80</v>
      </c>
      <c r="D416">
        <v>1</v>
      </c>
    </row>
    <row r="417" spans="1:4" x14ac:dyDescent="0.3">
      <c r="A417">
        <v>1999</v>
      </c>
      <c r="B417" t="s">
        <v>121</v>
      </c>
      <c r="C417">
        <v>0</v>
      </c>
      <c r="D417">
        <v>1.0714285714285701</v>
      </c>
    </row>
    <row r="418" spans="1:4" x14ac:dyDescent="0.3">
      <c r="A418">
        <v>1999</v>
      </c>
      <c r="B418" t="s">
        <v>121</v>
      </c>
      <c r="C418">
        <v>1</v>
      </c>
      <c r="D418">
        <v>1.0714285714285701</v>
      </c>
    </row>
    <row r="419" spans="1:4" x14ac:dyDescent="0.3">
      <c r="A419">
        <v>1999</v>
      </c>
      <c r="B419" t="s">
        <v>121</v>
      </c>
      <c r="C419">
        <v>5</v>
      </c>
      <c r="D419">
        <v>1.0714285714285701</v>
      </c>
    </row>
    <row r="420" spans="1:4" x14ac:dyDescent="0.3">
      <c r="A420">
        <v>1999</v>
      </c>
      <c r="B420" t="s">
        <v>121</v>
      </c>
      <c r="C420">
        <v>10</v>
      </c>
      <c r="D420">
        <v>1.0714285714285701</v>
      </c>
    </row>
    <row r="421" spans="1:4" x14ac:dyDescent="0.3">
      <c r="A421">
        <v>1999</v>
      </c>
      <c r="B421" t="s">
        <v>121</v>
      </c>
      <c r="C421">
        <v>15</v>
      </c>
      <c r="D421">
        <v>3.21428571428571</v>
      </c>
    </row>
    <row r="422" spans="1:4" x14ac:dyDescent="0.3">
      <c r="A422">
        <v>1999</v>
      </c>
      <c r="B422" t="s">
        <v>121</v>
      </c>
      <c r="C422">
        <v>20</v>
      </c>
      <c r="D422">
        <v>1.0714285714285701</v>
      </c>
    </row>
    <row r="423" spans="1:4" x14ac:dyDescent="0.3">
      <c r="A423">
        <v>1999</v>
      </c>
      <c r="B423" t="s">
        <v>121</v>
      </c>
      <c r="C423">
        <v>25</v>
      </c>
      <c r="D423">
        <v>0</v>
      </c>
    </row>
    <row r="424" spans="1:4" x14ac:dyDescent="0.3">
      <c r="A424">
        <v>1999</v>
      </c>
      <c r="B424" t="s">
        <v>121</v>
      </c>
      <c r="C424">
        <v>30</v>
      </c>
      <c r="D424">
        <v>0</v>
      </c>
    </row>
    <row r="425" spans="1:4" x14ac:dyDescent="0.3">
      <c r="A425">
        <v>1999</v>
      </c>
      <c r="B425" t="s">
        <v>121</v>
      </c>
      <c r="C425">
        <v>35</v>
      </c>
      <c r="D425">
        <v>2.1428571428571401</v>
      </c>
    </row>
    <row r="426" spans="1:4" x14ac:dyDescent="0.3">
      <c r="A426">
        <v>1999</v>
      </c>
      <c r="B426" t="s">
        <v>121</v>
      </c>
      <c r="C426">
        <v>40</v>
      </c>
      <c r="D426">
        <v>2.1428571428571401</v>
      </c>
    </row>
    <row r="427" spans="1:4" x14ac:dyDescent="0.3">
      <c r="A427">
        <v>1999</v>
      </c>
      <c r="B427" t="s">
        <v>121</v>
      </c>
      <c r="C427">
        <v>45</v>
      </c>
      <c r="D427">
        <v>0</v>
      </c>
    </row>
    <row r="428" spans="1:4" x14ac:dyDescent="0.3">
      <c r="A428">
        <v>1999</v>
      </c>
      <c r="B428" t="s">
        <v>121</v>
      </c>
      <c r="C428">
        <v>50</v>
      </c>
      <c r="D428">
        <v>0</v>
      </c>
    </row>
    <row r="429" spans="1:4" x14ac:dyDescent="0.3">
      <c r="A429">
        <v>1999</v>
      </c>
      <c r="B429" t="s">
        <v>121</v>
      </c>
      <c r="C429">
        <v>55</v>
      </c>
      <c r="D429">
        <v>1.0714285714285701</v>
      </c>
    </row>
    <row r="430" spans="1:4" x14ac:dyDescent="0.3">
      <c r="A430">
        <v>1999</v>
      </c>
      <c r="B430" t="s">
        <v>121</v>
      </c>
      <c r="C430">
        <v>60</v>
      </c>
      <c r="D430">
        <v>0</v>
      </c>
    </row>
    <row r="431" spans="1:4" x14ac:dyDescent="0.3">
      <c r="A431">
        <v>1999</v>
      </c>
      <c r="B431" t="s">
        <v>121</v>
      </c>
      <c r="C431">
        <v>65</v>
      </c>
      <c r="D431">
        <v>1.0714285714285701</v>
      </c>
    </row>
    <row r="432" spans="1:4" x14ac:dyDescent="0.3">
      <c r="A432">
        <v>1999</v>
      </c>
      <c r="B432" t="s">
        <v>121</v>
      </c>
      <c r="C432">
        <v>70</v>
      </c>
      <c r="D432">
        <v>0</v>
      </c>
    </row>
    <row r="433" spans="1:4" x14ac:dyDescent="0.3">
      <c r="A433">
        <v>1999</v>
      </c>
      <c r="B433" t="s">
        <v>121</v>
      </c>
      <c r="C433">
        <v>85</v>
      </c>
      <c r="D433">
        <v>0</v>
      </c>
    </row>
    <row r="434" spans="1:4" x14ac:dyDescent="0.3">
      <c r="A434">
        <v>2000</v>
      </c>
      <c r="B434" t="s">
        <v>121</v>
      </c>
      <c r="C434">
        <v>0</v>
      </c>
      <c r="D434">
        <v>1</v>
      </c>
    </row>
    <row r="435" spans="1:4" x14ac:dyDescent="0.3">
      <c r="A435">
        <v>2000</v>
      </c>
      <c r="B435" t="s">
        <v>121</v>
      </c>
      <c r="C435">
        <v>10</v>
      </c>
      <c r="D435">
        <v>2</v>
      </c>
    </row>
    <row r="436" spans="1:4" x14ac:dyDescent="0.3">
      <c r="A436">
        <v>2000</v>
      </c>
      <c r="B436" t="s">
        <v>121</v>
      </c>
      <c r="C436">
        <v>15</v>
      </c>
      <c r="D436">
        <v>1</v>
      </c>
    </row>
    <row r="437" spans="1:4" x14ac:dyDescent="0.3">
      <c r="A437">
        <v>2000</v>
      </c>
      <c r="B437" t="s">
        <v>121</v>
      </c>
      <c r="C437">
        <v>20</v>
      </c>
      <c r="D437">
        <v>0</v>
      </c>
    </row>
    <row r="438" spans="1:4" x14ac:dyDescent="0.3">
      <c r="A438">
        <v>2000</v>
      </c>
      <c r="B438" t="s">
        <v>121</v>
      </c>
      <c r="C438">
        <v>25</v>
      </c>
      <c r="D438">
        <v>3</v>
      </c>
    </row>
    <row r="439" spans="1:4" x14ac:dyDescent="0.3">
      <c r="A439">
        <v>2000</v>
      </c>
      <c r="B439" t="s">
        <v>121</v>
      </c>
      <c r="C439">
        <v>30</v>
      </c>
      <c r="D439">
        <v>1</v>
      </c>
    </row>
    <row r="440" spans="1:4" x14ac:dyDescent="0.3">
      <c r="A440">
        <v>2000</v>
      </c>
      <c r="B440" t="s">
        <v>121</v>
      </c>
      <c r="C440">
        <v>35</v>
      </c>
      <c r="D440">
        <v>3</v>
      </c>
    </row>
    <row r="441" spans="1:4" x14ac:dyDescent="0.3">
      <c r="A441">
        <v>2000</v>
      </c>
      <c r="B441" t="s">
        <v>121</v>
      </c>
      <c r="C441">
        <v>40</v>
      </c>
      <c r="D441">
        <v>0</v>
      </c>
    </row>
    <row r="442" spans="1:4" x14ac:dyDescent="0.3">
      <c r="A442">
        <v>2000</v>
      </c>
      <c r="B442" t="s">
        <v>121</v>
      </c>
      <c r="C442">
        <v>45</v>
      </c>
      <c r="D442">
        <v>0</v>
      </c>
    </row>
    <row r="443" spans="1:4" x14ac:dyDescent="0.3">
      <c r="A443">
        <v>2000</v>
      </c>
      <c r="B443" t="s">
        <v>121</v>
      </c>
      <c r="C443">
        <v>50</v>
      </c>
      <c r="D443">
        <v>0</v>
      </c>
    </row>
    <row r="444" spans="1:4" x14ac:dyDescent="0.3">
      <c r="A444">
        <v>2000</v>
      </c>
      <c r="B444" t="s">
        <v>121</v>
      </c>
      <c r="C444">
        <v>55</v>
      </c>
      <c r="D444">
        <v>0</v>
      </c>
    </row>
    <row r="445" spans="1:4" x14ac:dyDescent="0.3">
      <c r="A445">
        <v>2000</v>
      </c>
      <c r="B445" t="s">
        <v>121</v>
      </c>
      <c r="C445">
        <v>60</v>
      </c>
      <c r="D445">
        <v>2</v>
      </c>
    </row>
    <row r="446" spans="1:4" x14ac:dyDescent="0.3">
      <c r="A446">
        <v>2000</v>
      </c>
      <c r="B446" t="s">
        <v>121</v>
      </c>
      <c r="C446">
        <v>65</v>
      </c>
      <c r="D446">
        <v>1</v>
      </c>
    </row>
    <row r="447" spans="1:4" x14ac:dyDescent="0.3">
      <c r="A447">
        <v>2000</v>
      </c>
      <c r="B447" t="s">
        <v>121</v>
      </c>
      <c r="C447">
        <v>70</v>
      </c>
      <c r="D447">
        <v>0</v>
      </c>
    </row>
    <row r="448" spans="1:4" x14ac:dyDescent="0.3">
      <c r="A448">
        <v>2000</v>
      </c>
      <c r="B448" t="s">
        <v>121</v>
      </c>
      <c r="C448">
        <v>75</v>
      </c>
      <c r="D448">
        <v>1</v>
      </c>
    </row>
    <row r="449" spans="1:4" x14ac:dyDescent="0.3">
      <c r="A449">
        <v>2000</v>
      </c>
      <c r="B449" t="s">
        <v>121</v>
      </c>
      <c r="C449">
        <v>80</v>
      </c>
      <c r="D449">
        <v>0</v>
      </c>
    </row>
    <row r="450" spans="1:4" x14ac:dyDescent="0.3">
      <c r="A450">
        <v>2000</v>
      </c>
      <c r="B450" t="s">
        <v>121</v>
      </c>
      <c r="C450">
        <v>85</v>
      </c>
      <c r="D450">
        <v>1</v>
      </c>
    </row>
    <row r="451" spans="1:4" x14ac:dyDescent="0.3">
      <c r="A451">
        <v>2007</v>
      </c>
      <c r="B451" t="s">
        <v>121</v>
      </c>
      <c r="C451">
        <v>0</v>
      </c>
      <c r="D451">
        <v>0</v>
      </c>
    </row>
    <row r="452" spans="1:4" x14ac:dyDescent="0.3">
      <c r="A452">
        <v>2007</v>
      </c>
      <c r="B452" t="s">
        <v>121</v>
      </c>
      <c r="C452">
        <v>10</v>
      </c>
      <c r="D452">
        <v>0</v>
      </c>
    </row>
    <row r="453" spans="1:4" x14ac:dyDescent="0.3">
      <c r="A453">
        <v>2007</v>
      </c>
      <c r="B453" t="s">
        <v>121</v>
      </c>
      <c r="C453">
        <v>15</v>
      </c>
      <c r="D453">
        <v>1</v>
      </c>
    </row>
    <row r="454" spans="1:4" x14ac:dyDescent="0.3">
      <c r="A454">
        <v>2007</v>
      </c>
      <c r="B454" t="s">
        <v>121</v>
      </c>
      <c r="C454">
        <v>20</v>
      </c>
      <c r="D454">
        <v>2</v>
      </c>
    </row>
    <row r="455" spans="1:4" x14ac:dyDescent="0.3">
      <c r="A455">
        <v>2007</v>
      </c>
      <c r="B455" t="s">
        <v>121</v>
      </c>
      <c r="C455">
        <v>25</v>
      </c>
      <c r="D455">
        <v>0</v>
      </c>
    </row>
    <row r="456" spans="1:4" x14ac:dyDescent="0.3">
      <c r="A456">
        <v>2007</v>
      </c>
      <c r="B456" t="s">
        <v>121</v>
      </c>
      <c r="C456">
        <v>30</v>
      </c>
      <c r="D456">
        <v>2</v>
      </c>
    </row>
    <row r="457" spans="1:4" x14ac:dyDescent="0.3">
      <c r="A457">
        <v>2007</v>
      </c>
      <c r="B457" t="s">
        <v>121</v>
      </c>
      <c r="C457">
        <v>35</v>
      </c>
      <c r="D457">
        <v>1</v>
      </c>
    </row>
    <row r="458" spans="1:4" x14ac:dyDescent="0.3">
      <c r="A458">
        <v>2007</v>
      </c>
      <c r="B458" t="s">
        <v>121</v>
      </c>
      <c r="C458">
        <v>40</v>
      </c>
      <c r="D458">
        <v>0</v>
      </c>
    </row>
    <row r="459" spans="1:4" x14ac:dyDescent="0.3">
      <c r="A459">
        <v>2007</v>
      </c>
      <c r="B459" t="s">
        <v>121</v>
      </c>
      <c r="C459">
        <v>45</v>
      </c>
      <c r="D459">
        <v>1</v>
      </c>
    </row>
    <row r="460" spans="1:4" x14ac:dyDescent="0.3">
      <c r="A460">
        <v>2007</v>
      </c>
      <c r="B460" t="s">
        <v>121</v>
      </c>
      <c r="C460">
        <v>50</v>
      </c>
      <c r="D460">
        <v>0</v>
      </c>
    </row>
    <row r="461" spans="1:4" x14ac:dyDescent="0.3">
      <c r="A461">
        <v>2007</v>
      </c>
      <c r="B461" t="s">
        <v>121</v>
      </c>
      <c r="C461">
        <v>55</v>
      </c>
      <c r="D461">
        <v>1</v>
      </c>
    </row>
    <row r="462" spans="1:4" x14ac:dyDescent="0.3">
      <c r="A462">
        <v>2007</v>
      </c>
      <c r="B462" t="s">
        <v>121</v>
      </c>
      <c r="C462">
        <v>65</v>
      </c>
      <c r="D462">
        <v>0</v>
      </c>
    </row>
    <row r="463" spans="1:4" x14ac:dyDescent="0.3">
      <c r="A463">
        <v>2007</v>
      </c>
      <c r="B463" t="s">
        <v>121</v>
      </c>
      <c r="C463">
        <v>70</v>
      </c>
      <c r="D463">
        <v>0</v>
      </c>
    </row>
    <row r="464" spans="1:4" x14ac:dyDescent="0.3">
      <c r="A464">
        <v>2007</v>
      </c>
      <c r="B464" t="s">
        <v>121</v>
      </c>
      <c r="C464">
        <v>75</v>
      </c>
      <c r="D464">
        <v>0</v>
      </c>
    </row>
    <row r="465" spans="1:4" x14ac:dyDescent="0.3">
      <c r="A465">
        <v>2007</v>
      </c>
      <c r="B465" t="s">
        <v>121</v>
      </c>
      <c r="C465">
        <v>80</v>
      </c>
      <c r="D465">
        <v>0</v>
      </c>
    </row>
    <row r="466" spans="1:4" x14ac:dyDescent="0.3">
      <c r="A466">
        <v>2007</v>
      </c>
      <c r="B466" t="s">
        <v>121</v>
      </c>
      <c r="C466">
        <v>85</v>
      </c>
      <c r="D466">
        <v>1</v>
      </c>
    </row>
    <row r="467" spans="1:4" x14ac:dyDescent="0.3">
      <c r="A467">
        <v>2008</v>
      </c>
      <c r="B467" t="s">
        <v>121</v>
      </c>
      <c r="C467">
        <v>0</v>
      </c>
      <c r="D467">
        <v>1</v>
      </c>
    </row>
    <row r="468" spans="1:4" x14ac:dyDescent="0.3">
      <c r="A468">
        <v>2008</v>
      </c>
      <c r="B468" t="s">
        <v>121</v>
      </c>
      <c r="C468">
        <v>15</v>
      </c>
      <c r="D468">
        <v>1</v>
      </c>
    </row>
    <row r="469" spans="1:4" x14ac:dyDescent="0.3">
      <c r="A469">
        <v>2008</v>
      </c>
      <c r="B469" t="s">
        <v>121</v>
      </c>
      <c r="C469">
        <v>20</v>
      </c>
      <c r="D469">
        <v>3</v>
      </c>
    </row>
    <row r="470" spans="1:4" x14ac:dyDescent="0.3">
      <c r="A470">
        <v>2008</v>
      </c>
      <c r="B470" t="s">
        <v>121</v>
      </c>
      <c r="C470">
        <v>25</v>
      </c>
      <c r="D470">
        <v>3</v>
      </c>
    </row>
    <row r="471" spans="1:4" x14ac:dyDescent="0.3">
      <c r="A471">
        <v>2008</v>
      </c>
      <c r="B471" t="s">
        <v>121</v>
      </c>
      <c r="C471">
        <v>30</v>
      </c>
      <c r="D471">
        <v>0</v>
      </c>
    </row>
    <row r="472" spans="1:4" x14ac:dyDescent="0.3">
      <c r="A472">
        <v>2008</v>
      </c>
      <c r="B472" t="s">
        <v>121</v>
      </c>
      <c r="C472">
        <v>35</v>
      </c>
      <c r="D472">
        <v>1</v>
      </c>
    </row>
    <row r="473" spans="1:4" x14ac:dyDescent="0.3">
      <c r="A473">
        <v>2008</v>
      </c>
      <c r="B473" t="s">
        <v>121</v>
      </c>
      <c r="C473">
        <v>40</v>
      </c>
      <c r="D473">
        <v>1</v>
      </c>
    </row>
    <row r="474" spans="1:4" x14ac:dyDescent="0.3">
      <c r="A474">
        <v>2008</v>
      </c>
      <c r="B474" t="s">
        <v>121</v>
      </c>
      <c r="C474">
        <v>45</v>
      </c>
      <c r="D474">
        <v>2</v>
      </c>
    </row>
    <row r="475" spans="1:4" x14ac:dyDescent="0.3">
      <c r="A475">
        <v>2008</v>
      </c>
      <c r="B475" t="s">
        <v>121</v>
      </c>
      <c r="C475">
        <v>50</v>
      </c>
      <c r="D475">
        <v>0</v>
      </c>
    </row>
    <row r="476" spans="1:4" x14ac:dyDescent="0.3">
      <c r="A476">
        <v>2008</v>
      </c>
      <c r="B476" t="s">
        <v>121</v>
      </c>
      <c r="C476">
        <v>55</v>
      </c>
      <c r="D476">
        <v>0</v>
      </c>
    </row>
    <row r="477" spans="1:4" x14ac:dyDescent="0.3">
      <c r="A477">
        <v>2008</v>
      </c>
      <c r="B477" t="s">
        <v>121</v>
      </c>
      <c r="C477">
        <v>60</v>
      </c>
      <c r="D477">
        <v>0</v>
      </c>
    </row>
    <row r="478" spans="1:4" x14ac:dyDescent="0.3">
      <c r="A478">
        <v>2008</v>
      </c>
      <c r="B478" t="s">
        <v>121</v>
      </c>
      <c r="C478">
        <v>65</v>
      </c>
      <c r="D478">
        <v>0</v>
      </c>
    </row>
    <row r="479" spans="1:4" x14ac:dyDescent="0.3">
      <c r="A479">
        <v>2008</v>
      </c>
      <c r="B479" t="s">
        <v>121</v>
      </c>
      <c r="C479">
        <v>70</v>
      </c>
      <c r="D479">
        <v>0</v>
      </c>
    </row>
    <row r="480" spans="1:4" x14ac:dyDescent="0.3">
      <c r="A480">
        <v>2008</v>
      </c>
      <c r="B480" t="s">
        <v>121</v>
      </c>
      <c r="C480">
        <v>75</v>
      </c>
      <c r="D480">
        <v>0</v>
      </c>
    </row>
    <row r="481" spans="1:4" x14ac:dyDescent="0.3">
      <c r="A481">
        <v>2008</v>
      </c>
      <c r="B481" t="s">
        <v>121</v>
      </c>
      <c r="C481">
        <v>80</v>
      </c>
      <c r="D481">
        <v>0</v>
      </c>
    </row>
    <row r="482" spans="1:4" x14ac:dyDescent="0.3">
      <c r="A482">
        <v>2009</v>
      </c>
      <c r="B482" t="s">
        <v>121</v>
      </c>
      <c r="C482">
        <v>1</v>
      </c>
      <c r="D482">
        <v>1</v>
      </c>
    </row>
    <row r="483" spans="1:4" x14ac:dyDescent="0.3">
      <c r="A483">
        <v>2009</v>
      </c>
      <c r="B483" t="s">
        <v>121</v>
      </c>
      <c r="C483">
        <v>10</v>
      </c>
      <c r="D483">
        <v>0</v>
      </c>
    </row>
    <row r="484" spans="1:4" x14ac:dyDescent="0.3">
      <c r="A484">
        <v>2009</v>
      </c>
      <c r="B484" t="s">
        <v>121</v>
      </c>
      <c r="C484">
        <v>15</v>
      </c>
      <c r="D484">
        <v>2</v>
      </c>
    </row>
    <row r="485" spans="1:4" x14ac:dyDescent="0.3">
      <c r="A485">
        <v>2009</v>
      </c>
      <c r="B485" t="s">
        <v>121</v>
      </c>
      <c r="C485">
        <v>20</v>
      </c>
      <c r="D485">
        <v>0</v>
      </c>
    </row>
    <row r="486" spans="1:4" x14ac:dyDescent="0.3">
      <c r="A486">
        <v>2009</v>
      </c>
      <c r="B486" t="s">
        <v>121</v>
      </c>
      <c r="C486">
        <v>25</v>
      </c>
      <c r="D486">
        <v>0</v>
      </c>
    </row>
    <row r="487" spans="1:4" x14ac:dyDescent="0.3">
      <c r="A487">
        <v>2009</v>
      </c>
      <c r="B487" t="s">
        <v>121</v>
      </c>
      <c r="C487">
        <v>30</v>
      </c>
      <c r="D487">
        <v>3</v>
      </c>
    </row>
    <row r="488" spans="1:4" x14ac:dyDescent="0.3">
      <c r="A488">
        <v>2009</v>
      </c>
      <c r="B488" t="s">
        <v>121</v>
      </c>
      <c r="C488">
        <v>35</v>
      </c>
      <c r="D488">
        <v>1</v>
      </c>
    </row>
    <row r="489" spans="1:4" x14ac:dyDescent="0.3">
      <c r="A489">
        <v>2009</v>
      </c>
      <c r="B489" t="s">
        <v>121</v>
      </c>
      <c r="C489">
        <v>40</v>
      </c>
      <c r="D489">
        <v>1</v>
      </c>
    </row>
    <row r="490" spans="1:4" x14ac:dyDescent="0.3">
      <c r="A490">
        <v>2009</v>
      </c>
      <c r="B490" t="s">
        <v>121</v>
      </c>
      <c r="C490">
        <v>45</v>
      </c>
      <c r="D490">
        <v>2</v>
      </c>
    </row>
    <row r="491" spans="1:4" x14ac:dyDescent="0.3">
      <c r="A491">
        <v>2009</v>
      </c>
      <c r="B491" t="s">
        <v>121</v>
      </c>
      <c r="C491">
        <v>50</v>
      </c>
      <c r="D491">
        <v>1</v>
      </c>
    </row>
    <row r="492" spans="1:4" x14ac:dyDescent="0.3">
      <c r="A492">
        <v>2009</v>
      </c>
      <c r="B492" t="s">
        <v>121</v>
      </c>
      <c r="C492">
        <v>55</v>
      </c>
      <c r="D492">
        <v>0</v>
      </c>
    </row>
    <row r="493" spans="1:4" x14ac:dyDescent="0.3">
      <c r="A493">
        <v>2009</v>
      </c>
      <c r="B493" t="s">
        <v>121</v>
      </c>
      <c r="C493">
        <v>60</v>
      </c>
      <c r="D493">
        <v>0</v>
      </c>
    </row>
    <row r="494" spans="1:4" x14ac:dyDescent="0.3">
      <c r="A494">
        <v>2009</v>
      </c>
      <c r="B494" t="s">
        <v>121</v>
      </c>
      <c r="C494">
        <v>65</v>
      </c>
      <c r="D494">
        <v>0</v>
      </c>
    </row>
    <row r="495" spans="1:4" x14ac:dyDescent="0.3">
      <c r="A495">
        <v>2009</v>
      </c>
      <c r="B495" t="s">
        <v>121</v>
      </c>
      <c r="C495">
        <v>75</v>
      </c>
      <c r="D495">
        <v>0</v>
      </c>
    </row>
    <row r="496" spans="1:4" x14ac:dyDescent="0.3">
      <c r="A496">
        <v>2009</v>
      </c>
      <c r="B496" t="s">
        <v>121</v>
      </c>
      <c r="C496">
        <v>80</v>
      </c>
      <c r="D496">
        <v>1</v>
      </c>
    </row>
    <row r="497" spans="1:4" x14ac:dyDescent="0.3">
      <c r="A497">
        <v>2012</v>
      </c>
      <c r="B497" t="s">
        <v>121</v>
      </c>
      <c r="C497">
        <v>5</v>
      </c>
      <c r="D497">
        <v>0</v>
      </c>
    </row>
    <row r="498" spans="1:4" x14ac:dyDescent="0.3">
      <c r="A498">
        <v>2012</v>
      </c>
      <c r="B498" t="s">
        <v>121</v>
      </c>
      <c r="C498">
        <v>10</v>
      </c>
      <c r="D498">
        <v>1</v>
      </c>
    </row>
    <row r="499" spans="1:4" x14ac:dyDescent="0.3">
      <c r="A499">
        <v>2012</v>
      </c>
      <c r="B499" t="s">
        <v>121</v>
      </c>
      <c r="C499">
        <v>15</v>
      </c>
      <c r="D499">
        <v>2</v>
      </c>
    </row>
    <row r="500" spans="1:4" x14ac:dyDescent="0.3">
      <c r="A500">
        <v>2012</v>
      </c>
      <c r="B500" t="s">
        <v>121</v>
      </c>
      <c r="C500">
        <v>20</v>
      </c>
      <c r="D500">
        <v>0</v>
      </c>
    </row>
    <row r="501" spans="1:4" x14ac:dyDescent="0.3">
      <c r="A501">
        <v>2012</v>
      </c>
      <c r="B501" t="s">
        <v>121</v>
      </c>
      <c r="C501">
        <v>25</v>
      </c>
      <c r="D501">
        <v>3</v>
      </c>
    </row>
    <row r="502" spans="1:4" x14ac:dyDescent="0.3">
      <c r="A502">
        <v>2012</v>
      </c>
      <c r="B502" t="s">
        <v>121</v>
      </c>
      <c r="C502">
        <v>30</v>
      </c>
      <c r="D502">
        <v>2</v>
      </c>
    </row>
    <row r="503" spans="1:4" x14ac:dyDescent="0.3">
      <c r="A503">
        <v>2012</v>
      </c>
      <c r="B503" t="s">
        <v>121</v>
      </c>
      <c r="C503">
        <v>35</v>
      </c>
      <c r="D503">
        <v>3</v>
      </c>
    </row>
    <row r="504" spans="1:4" x14ac:dyDescent="0.3">
      <c r="A504">
        <v>2012</v>
      </c>
      <c r="B504" t="s">
        <v>121</v>
      </c>
      <c r="C504">
        <v>40</v>
      </c>
      <c r="D504">
        <v>2</v>
      </c>
    </row>
    <row r="505" spans="1:4" x14ac:dyDescent="0.3">
      <c r="A505">
        <v>2012</v>
      </c>
      <c r="B505" t="s">
        <v>121</v>
      </c>
      <c r="C505">
        <v>45</v>
      </c>
      <c r="D505">
        <v>1</v>
      </c>
    </row>
    <row r="506" spans="1:4" x14ac:dyDescent="0.3">
      <c r="A506">
        <v>2012</v>
      </c>
      <c r="B506" t="s">
        <v>121</v>
      </c>
      <c r="C506">
        <v>50</v>
      </c>
      <c r="D506">
        <v>3</v>
      </c>
    </row>
    <row r="507" spans="1:4" x14ac:dyDescent="0.3">
      <c r="A507">
        <v>2012</v>
      </c>
      <c r="B507" t="s">
        <v>121</v>
      </c>
      <c r="C507">
        <v>55</v>
      </c>
      <c r="D507">
        <v>0</v>
      </c>
    </row>
    <row r="508" spans="1:4" x14ac:dyDescent="0.3">
      <c r="A508">
        <v>2012</v>
      </c>
      <c r="B508" t="s">
        <v>121</v>
      </c>
      <c r="C508">
        <v>60</v>
      </c>
      <c r="D508">
        <v>3</v>
      </c>
    </row>
    <row r="509" spans="1:4" x14ac:dyDescent="0.3">
      <c r="A509">
        <v>2012</v>
      </c>
      <c r="B509" t="s">
        <v>121</v>
      </c>
      <c r="C509">
        <v>65</v>
      </c>
      <c r="D509">
        <v>0</v>
      </c>
    </row>
    <row r="510" spans="1:4" x14ac:dyDescent="0.3">
      <c r="A510">
        <v>2012</v>
      </c>
      <c r="B510" t="s">
        <v>121</v>
      </c>
      <c r="C510">
        <v>70</v>
      </c>
      <c r="D510">
        <v>1</v>
      </c>
    </row>
    <row r="511" spans="1:4" x14ac:dyDescent="0.3">
      <c r="A511">
        <v>2012</v>
      </c>
      <c r="B511" t="s">
        <v>121</v>
      </c>
      <c r="C511">
        <v>75</v>
      </c>
      <c r="D511">
        <v>0</v>
      </c>
    </row>
    <row r="512" spans="1:4" x14ac:dyDescent="0.3">
      <c r="A512">
        <v>2012</v>
      </c>
      <c r="B512" t="s">
        <v>121</v>
      </c>
      <c r="C512">
        <v>80</v>
      </c>
      <c r="D512">
        <v>0</v>
      </c>
    </row>
    <row r="513" spans="1:4" x14ac:dyDescent="0.3">
      <c r="A513">
        <v>2015</v>
      </c>
      <c r="B513" t="s">
        <v>121</v>
      </c>
      <c r="C513">
        <v>0</v>
      </c>
      <c r="D513">
        <v>2</v>
      </c>
    </row>
    <row r="514" spans="1:4" x14ac:dyDescent="0.3">
      <c r="A514">
        <v>2015</v>
      </c>
      <c r="B514" t="s">
        <v>121</v>
      </c>
      <c r="C514">
        <v>1</v>
      </c>
      <c r="D514">
        <v>1</v>
      </c>
    </row>
    <row r="515" spans="1:4" x14ac:dyDescent="0.3">
      <c r="A515">
        <v>2015</v>
      </c>
      <c r="B515" t="s">
        <v>121</v>
      </c>
      <c r="C515">
        <v>15</v>
      </c>
      <c r="D515">
        <v>3</v>
      </c>
    </row>
    <row r="516" spans="1:4" x14ac:dyDescent="0.3">
      <c r="A516">
        <v>2015</v>
      </c>
      <c r="B516" t="s">
        <v>121</v>
      </c>
      <c r="C516">
        <v>20</v>
      </c>
      <c r="D516">
        <v>4</v>
      </c>
    </row>
    <row r="517" spans="1:4" x14ac:dyDescent="0.3">
      <c r="A517">
        <v>2015</v>
      </c>
      <c r="B517" t="s">
        <v>121</v>
      </c>
      <c r="C517">
        <v>25</v>
      </c>
      <c r="D517">
        <v>2</v>
      </c>
    </row>
    <row r="518" spans="1:4" x14ac:dyDescent="0.3">
      <c r="A518">
        <v>2015</v>
      </c>
      <c r="B518" t="s">
        <v>121</v>
      </c>
      <c r="C518">
        <v>30</v>
      </c>
      <c r="D518">
        <v>3</v>
      </c>
    </row>
    <row r="519" spans="1:4" x14ac:dyDescent="0.3">
      <c r="A519">
        <v>2015</v>
      </c>
      <c r="B519" t="s">
        <v>121</v>
      </c>
      <c r="C519">
        <v>35</v>
      </c>
      <c r="D519">
        <v>3</v>
      </c>
    </row>
    <row r="520" spans="1:4" x14ac:dyDescent="0.3">
      <c r="A520">
        <v>2015</v>
      </c>
      <c r="B520" t="s">
        <v>121</v>
      </c>
      <c r="C520">
        <v>40</v>
      </c>
      <c r="D520">
        <v>1</v>
      </c>
    </row>
    <row r="521" spans="1:4" x14ac:dyDescent="0.3">
      <c r="A521">
        <v>2015</v>
      </c>
      <c r="B521" t="s">
        <v>121</v>
      </c>
      <c r="C521">
        <v>45</v>
      </c>
      <c r="D521">
        <v>1</v>
      </c>
    </row>
    <row r="522" spans="1:4" x14ac:dyDescent="0.3">
      <c r="A522">
        <v>2015</v>
      </c>
      <c r="B522" t="s">
        <v>121</v>
      </c>
      <c r="C522">
        <v>50</v>
      </c>
      <c r="D522">
        <v>0</v>
      </c>
    </row>
    <row r="523" spans="1:4" x14ac:dyDescent="0.3">
      <c r="A523">
        <v>2015</v>
      </c>
      <c r="B523" t="s">
        <v>121</v>
      </c>
      <c r="C523">
        <v>55</v>
      </c>
      <c r="D523">
        <v>1</v>
      </c>
    </row>
    <row r="524" spans="1:4" x14ac:dyDescent="0.3">
      <c r="A524">
        <v>2015</v>
      </c>
      <c r="B524" t="s">
        <v>121</v>
      </c>
      <c r="C524">
        <v>60</v>
      </c>
      <c r="D524">
        <v>0</v>
      </c>
    </row>
    <row r="525" spans="1:4" x14ac:dyDescent="0.3">
      <c r="A525">
        <v>2015</v>
      </c>
      <c r="B525" t="s">
        <v>121</v>
      </c>
      <c r="C525">
        <v>65</v>
      </c>
      <c r="D525">
        <v>0</v>
      </c>
    </row>
    <row r="526" spans="1:4" x14ac:dyDescent="0.3">
      <c r="A526">
        <v>2015</v>
      </c>
      <c r="B526" t="s">
        <v>121</v>
      </c>
      <c r="C526">
        <v>70</v>
      </c>
      <c r="D526">
        <v>0</v>
      </c>
    </row>
    <row r="527" spans="1:4" x14ac:dyDescent="0.3">
      <c r="A527">
        <v>2015</v>
      </c>
      <c r="B527" t="s">
        <v>121</v>
      </c>
      <c r="C527">
        <v>75</v>
      </c>
      <c r="D527">
        <v>0</v>
      </c>
    </row>
    <row r="528" spans="1:4" x14ac:dyDescent="0.3">
      <c r="A528">
        <v>2016</v>
      </c>
      <c r="B528" t="s">
        <v>121</v>
      </c>
      <c r="C528">
        <v>1</v>
      </c>
      <c r="D528">
        <v>1.05555555555556</v>
      </c>
    </row>
    <row r="529" spans="1:4" x14ac:dyDescent="0.3">
      <c r="A529">
        <v>2016</v>
      </c>
      <c r="B529" t="s">
        <v>121</v>
      </c>
      <c r="C529">
        <v>5</v>
      </c>
      <c r="D529">
        <v>0</v>
      </c>
    </row>
    <row r="530" spans="1:4" x14ac:dyDescent="0.3">
      <c r="A530">
        <v>2016</v>
      </c>
      <c r="B530" t="s">
        <v>121</v>
      </c>
      <c r="C530">
        <v>10</v>
      </c>
      <c r="D530">
        <v>1.05555555555556</v>
      </c>
    </row>
    <row r="531" spans="1:4" x14ac:dyDescent="0.3">
      <c r="A531">
        <v>2016</v>
      </c>
      <c r="B531" t="s">
        <v>121</v>
      </c>
      <c r="C531">
        <v>15</v>
      </c>
      <c r="D531">
        <v>1.05555555555556</v>
      </c>
    </row>
    <row r="532" spans="1:4" x14ac:dyDescent="0.3">
      <c r="A532">
        <v>2016</v>
      </c>
      <c r="B532" t="s">
        <v>121</v>
      </c>
      <c r="C532">
        <v>20</v>
      </c>
      <c r="D532">
        <v>1.05555555555556</v>
      </c>
    </row>
    <row r="533" spans="1:4" x14ac:dyDescent="0.3">
      <c r="A533">
        <v>2016</v>
      </c>
      <c r="B533" t="s">
        <v>121</v>
      </c>
      <c r="C533">
        <v>25</v>
      </c>
      <c r="D533">
        <v>2.1111111111111098</v>
      </c>
    </row>
    <row r="534" spans="1:4" x14ac:dyDescent="0.3">
      <c r="A534">
        <v>2016</v>
      </c>
      <c r="B534" t="s">
        <v>121</v>
      </c>
      <c r="C534">
        <v>30</v>
      </c>
      <c r="D534">
        <v>2.1111111111111098</v>
      </c>
    </row>
    <row r="535" spans="1:4" x14ac:dyDescent="0.3">
      <c r="A535">
        <v>2016</v>
      </c>
      <c r="B535" t="s">
        <v>121</v>
      </c>
      <c r="C535">
        <v>35</v>
      </c>
      <c r="D535">
        <v>3.1666666666666701</v>
      </c>
    </row>
    <row r="536" spans="1:4" x14ac:dyDescent="0.3">
      <c r="A536">
        <v>2016</v>
      </c>
      <c r="B536" t="s">
        <v>121</v>
      </c>
      <c r="C536">
        <v>40</v>
      </c>
      <c r="D536">
        <v>0</v>
      </c>
    </row>
    <row r="537" spans="1:4" x14ac:dyDescent="0.3">
      <c r="A537">
        <v>2016</v>
      </c>
      <c r="B537" t="s">
        <v>121</v>
      </c>
      <c r="C537">
        <v>45</v>
      </c>
      <c r="D537">
        <v>3.1666666666666701</v>
      </c>
    </row>
    <row r="538" spans="1:4" x14ac:dyDescent="0.3">
      <c r="A538">
        <v>2016</v>
      </c>
      <c r="B538" t="s">
        <v>121</v>
      </c>
      <c r="C538">
        <v>50</v>
      </c>
      <c r="D538">
        <v>0</v>
      </c>
    </row>
    <row r="539" spans="1:4" x14ac:dyDescent="0.3">
      <c r="A539">
        <v>2016</v>
      </c>
      <c r="B539" t="s">
        <v>121</v>
      </c>
      <c r="C539">
        <v>55</v>
      </c>
      <c r="D539">
        <v>1.05555555555556</v>
      </c>
    </row>
    <row r="540" spans="1:4" x14ac:dyDescent="0.3">
      <c r="A540">
        <v>2016</v>
      </c>
      <c r="B540" t="s">
        <v>121</v>
      </c>
      <c r="C540">
        <v>60</v>
      </c>
      <c r="D540">
        <v>1.05555555555556</v>
      </c>
    </row>
    <row r="541" spans="1:4" x14ac:dyDescent="0.3">
      <c r="A541">
        <v>2016</v>
      </c>
      <c r="B541" t="s">
        <v>121</v>
      </c>
      <c r="C541">
        <v>65</v>
      </c>
      <c r="D541">
        <v>0</v>
      </c>
    </row>
    <row r="542" spans="1:4" x14ac:dyDescent="0.3">
      <c r="A542">
        <v>2016</v>
      </c>
      <c r="B542" t="s">
        <v>121</v>
      </c>
      <c r="C542">
        <v>70</v>
      </c>
      <c r="D542">
        <v>1.05555555555556</v>
      </c>
    </row>
    <row r="543" spans="1:4" x14ac:dyDescent="0.3">
      <c r="A543">
        <v>2016</v>
      </c>
      <c r="B543" t="s">
        <v>121</v>
      </c>
      <c r="C543">
        <v>75</v>
      </c>
      <c r="D543">
        <v>0</v>
      </c>
    </row>
    <row r="544" spans="1:4" x14ac:dyDescent="0.3">
      <c r="A544">
        <v>2016</v>
      </c>
      <c r="B544" t="s">
        <v>121</v>
      </c>
      <c r="C544">
        <v>80</v>
      </c>
      <c r="D544">
        <v>0</v>
      </c>
    </row>
    <row r="545" spans="1:4" x14ac:dyDescent="0.3">
      <c r="A545">
        <v>2016</v>
      </c>
      <c r="B545" t="s">
        <v>121</v>
      </c>
      <c r="C545">
        <v>85</v>
      </c>
      <c r="D545">
        <v>1.05555555555556</v>
      </c>
    </row>
    <row r="546" spans="1:4" x14ac:dyDescent="0.3">
      <c r="A546">
        <v>2017</v>
      </c>
      <c r="B546" t="s">
        <v>121</v>
      </c>
      <c r="C546">
        <v>0</v>
      </c>
      <c r="D546">
        <v>1</v>
      </c>
    </row>
    <row r="547" spans="1:4" x14ac:dyDescent="0.3">
      <c r="A547">
        <v>2017</v>
      </c>
      <c r="B547" t="s">
        <v>121</v>
      </c>
      <c r="C547">
        <v>5</v>
      </c>
      <c r="D547">
        <v>0</v>
      </c>
    </row>
    <row r="548" spans="1:4" x14ac:dyDescent="0.3">
      <c r="A548">
        <v>2017</v>
      </c>
      <c r="B548" t="s">
        <v>121</v>
      </c>
      <c r="C548">
        <v>10</v>
      </c>
      <c r="D548">
        <v>2</v>
      </c>
    </row>
    <row r="549" spans="1:4" x14ac:dyDescent="0.3">
      <c r="A549">
        <v>2017</v>
      </c>
      <c r="B549" t="s">
        <v>121</v>
      </c>
      <c r="C549">
        <v>15</v>
      </c>
      <c r="D549">
        <v>8</v>
      </c>
    </row>
    <row r="550" spans="1:4" x14ac:dyDescent="0.3">
      <c r="A550">
        <v>2017</v>
      </c>
      <c r="B550" t="s">
        <v>121</v>
      </c>
      <c r="C550">
        <v>20</v>
      </c>
      <c r="D550">
        <v>6</v>
      </c>
    </row>
    <row r="551" spans="1:4" x14ac:dyDescent="0.3">
      <c r="A551">
        <v>2017</v>
      </c>
      <c r="B551" t="s">
        <v>121</v>
      </c>
      <c r="C551">
        <v>25</v>
      </c>
      <c r="D551">
        <v>6</v>
      </c>
    </row>
    <row r="552" spans="1:4" x14ac:dyDescent="0.3">
      <c r="A552">
        <v>2017</v>
      </c>
      <c r="B552" t="s">
        <v>121</v>
      </c>
      <c r="C552">
        <v>30</v>
      </c>
      <c r="D552">
        <v>2</v>
      </c>
    </row>
    <row r="553" spans="1:4" x14ac:dyDescent="0.3">
      <c r="A553" s="139">
        <v>2017</v>
      </c>
      <c r="B553" s="139" t="s">
        <v>121</v>
      </c>
      <c r="C553" s="139">
        <v>35</v>
      </c>
      <c r="D553" s="139">
        <v>4</v>
      </c>
    </row>
    <row r="554" spans="1:4" x14ac:dyDescent="0.3">
      <c r="A554" s="139">
        <v>2017</v>
      </c>
      <c r="B554" s="139" t="s">
        <v>121</v>
      </c>
      <c r="C554" s="139">
        <v>40</v>
      </c>
      <c r="D554" s="139">
        <v>5</v>
      </c>
    </row>
    <row r="555" spans="1:4" x14ac:dyDescent="0.3">
      <c r="A555" s="139">
        <v>2017</v>
      </c>
      <c r="B555" s="139" t="s">
        <v>121</v>
      </c>
      <c r="C555" s="139">
        <v>45</v>
      </c>
      <c r="D555" s="139">
        <v>1</v>
      </c>
    </row>
    <row r="556" spans="1:4" x14ac:dyDescent="0.3">
      <c r="A556" s="139">
        <v>2017</v>
      </c>
      <c r="B556" s="139" t="s">
        <v>121</v>
      </c>
      <c r="C556" s="139">
        <v>50</v>
      </c>
      <c r="D556" s="139">
        <v>1</v>
      </c>
    </row>
    <row r="557" spans="1:4" x14ac:dyDescent="0.3">
      <c r="A557" s="139">
        <v>2017</v>
      </c>
      <c r="B557" s="139" t="s">
        <v>121</v>
      </c>
      <c r="C557" s="139">
        <v>55</v>
      </c>
      <c r="D557" s="139">
        <v>1</v>
      </c>
    </row>
    <row r="558" spans="1:4" x14ac:dyDescent="0.3">
      <c r="A558" s="139">
        <v>2017</v>
      </c>
      <c r="B558" s="139" t="s">
        <v>121</v>
      </c>
      <c r="C558" s="139">
        <v>60</v>
      </c>
      <c r="D558" s="139">
        <v>1</v>
      </c>
    </row>
    <row r="559" spans="1:4" x14ac:dyDescent="0.3">
      <c r="A559" s="139">
        <v>2017</v>
      </c>
      <c r="B559" s="139" t="s">
        <v>121</v>
      </c>
      <c r="C559" s="139">
        <v>65</v>
      </c>
      <c r="D559" s="139">
        <v>1</v>
      </c>
    </row>
    <row r="560" spans="1:4" x14ac:dyDescent="0.3">
      <c r="A560" s="139">
        <v>2017</v>
      </c>
      <c r="B560" s="139" t="s">
        <v>121</v>
      </c>
      <c r="C560" s="139">
        <v>70</v>
      </c>
      <c r="D560" s="139">
        <v>0</v>
      </c>
    </row>
    <row r="561" spans="1:4" x14ac:dyDescent="0.3">
      <c r="A561" s="139">
        <v>2017</v>
      </c>
      <c r="B561" s="139" t="s">
        <v>121</v>
      </c>
      <c r="C561" s="139">
        <v>80</v>
      </c>
      <c r="D561" s="139">
        <v>0</v>
      </c>
    </row>
    <row r="562" spans="1:4" x14ac:dyDescent="0.3">
      <c r="A562" s="139">
        <v>2019</v>
      </c>
      <c r="B562" s="139" t="s">
        <v>121</v>
      </c>
      <c r="C562" s="139">
        <v>1</v>
      </c>
      <c r="D562" s="139">
        <v>0</v>
      </c>
    </row>
    <row r="563" spans="1:4" x14ac:dyDescent="0.3">
      <c r="A563" s="139">
        <v>2019</v>
      </c>
      <c r="B563" s="139" t="s">
        <v>121</v>
      </c>
      <c r="C563" s="139">
        <v>10</v>
      </c>
      <c r="D563" s="139">
        <v>0</v>
      </c>
    </row>
    <row r="564" spans="1:4" x14ac:dyDescent="0.3">
      <c r="A564" s="139">
        <v>2019</v>
      </c>
      <c r="B564" s="139" t="s">
        <v>121</v>
      </c>
      <c r="C564" s="139">
        <v>15</v>
      </c>
      <c r="D564" s="139">
        <v>3</v>
      </c>
    </row>
    <row r="565" spans="1:4" x14ac:dyDescent="0.3">
      <c r="A565" s="139">
        <v>2019</v>
      </c>
      <c r="B565" s="139" t="s">
        <v>121</v>
      </c>
      <c r="C565" s="139">
        <v>20</v>
      </c>
      <c r="D565" s="139">
        <v>3</v>
      </c>
    </row>
    <row r="566" spans="1:4" x14ac:dyDescent="0.3">
      <c r="A566" s="139">
        <v>2019</v>
      </c>
      <c r="B566" s="139" t="s">
        <v>121</v>
      </c>
      <c r="C566" s="139">
        <v>25</v>
      </c>
      <c r="D566" s="139">
        <v>6</v>
      </c>
    </row>
    <row r="567" spans="1:4" x14ac:dyDescent="0.3">
      <c r="A567" s="139">
        <v>2019</v>
      </c>
      <c r="B567" s="139" t="s">
        <v>121</v>
      </c>
      <c r="C567" s="139">
        <v>30</v>
      </c>
      <c r="D567" s="139">
        <v>4</v>
      </c>
    </row>
    <row r="568" spans="1:4" x14ac:dyDescent="0.3">
      <c r="A568" s="139">
        <v>2019</v>
      </c>
      <c r="B568" s="139" t="s">
        <v>121</v>
      </c>
      <c r="C568" s="139">
        <v>35</v>
      </c>
      <c r="D568" s="139">
        <v>2</v>
      </c>
    </row>
    <row r="569" spans="1:4" x14ac:dyDescent="0.3">
      <c r="A569" s="139">
        <v>2019</v>
      </c>
      <c r="B569" s="139" t="s">
        <v>121</v>
      </c>
      <c r="C569" s="139">
        <v>40</v>
      </c>
      <c r="D569" s="139">
        <v>4</v>
      </c>
    </row>
    <row r="570" spans="1:4" x14ac:dyDescent="0.3">
      <c r="A570" s="139">
        <v>2019</v>
      </c>
      <c r="B570" s="139" t="s">
        <v>121</v>
      </c>
      <c r="C570" s="139">
        <v>45</v>
      </c>
      <c r="D570" s="139">
        <v>3</v>
      </c>
    </row>
    <row r="571" spans="1:4" x14ac:dyDescent="0.3">
      <c r="A571" s="139">
        <v>2019</v>
      </c>
      <c r="B571" s="139" t="s">
        <v>121</v>
      </c>
      <c r="C571" s="139">
        <v>50</v>
      </c>
      <c r="D571" s="139">
        <v>0</v>
      </c>
    </row>
    <row r="572" spans="1:4" x14ac:dyDescent="0.3">
      <c r="A572">
        <v>2019</v>
      </c>
      <c r="B572" t="s">
        <v>121</v>
      </c>
      <c r="C572">
        <v>55</v>
      </c>
      <c r="D572">
        <v>0</v>
      </c>
    </row>
    <row r="573" spans="1:4" x14ac:dyDescent="0.3">
      <c r="A573">
        <v>2019</v>
      </c>
      <c r="B573" t="s">
        <v>121</v>
      </c>
      <c r="C573">
        <v>60</v>
      </c>
      <c r="D573">
        <v>2</v>
      </c>
    </row>
    <row r="574" spans="1:4" x14ac:dyDescent="0.3">
      <c r="A574">
        <v>2019</v>
      </c>
      <c r="B574" t="s">
        <v>121</v>
      </c>
      <c r="C574">
        <v>65</v>
      </c>
      <c r="D574">
        <v>1</v>
      </c>
    </row>
    <row r="575" spans="1:4" x14ac:dyDescent="0.3">
      <c r="A575">
        <v>2019</v>
      </c>
      <c r="B575" t="s">
        <v>121</v>
      </c>
      <c r="C575">
        <v>75</v>
      </c>
      <c r="D575">
        <v>0</v>
      </c>
    </row>
    <row r="576" spans="1:4" x14ac:dyDescent="0.3">
      <c r="A576">
        <v>2019</v>
      </c>
      <c r="B576" t="s">
        <v>121</v>
      </c>
      <c r="C576">
        <v>80</v>
      </c>
      <c r="D576">
        <v>1</v>
      </c>
    </row>
    <row r="577" spans="1:4" x14ac:dyDescent="0.3">
      <c r="A577">
        <v>2020</v>
      </c>
      <c r="B577" t="s">
        <v>121</v>
      </c>
      <c r="C577">
        <v>10</v>
      </c>
      <c r="D577">
        <v>0</v>
      </c>
    </row>
    <row r="578" spans="1:4" x14ac:dyDescent="0.3">
      <c r="A578">
        <v>2020</v>
      </c>
      <c r="B578" t="s">
        <v>121</v>
      </c>
      <c r="C578">
        <v>15</v>
      </c>
      <c r="D578">
        <v>3</v>
      </c>
    </row>
    <row r="579" spans="1:4" x14ac:dyDescent="0.3">
      <c r="A579">
        <v>2020</v>
      </c>
      <c r="B579" t="s">
        <v>121</v>
      </c>
      <c r="C579">
        <v>20</v>
      </c>
      <c r="D579">
        <v>3</v>
      </c>
    </row>
    <row r="580" spans="1:4" x14ac:dyDescent="0.3">
      <c r="A580">
        <v>2020</v>
      </c>
      <c r="B580" t="s">
        <v>121</v>
      </c>
      <c r="C580">
        <v>25</v>
      </c>
      <c r="D580">
        <v>4</v>
      </c>
    </row>
    <row r="581" spans="1:4" x14ac:dyDescent="0.3">
      <c r="A581">
        <v>2020</v>
      </c>
      <c r="B581" t="s">
        <v>121</v>
      </c>
      <c r="C581">
        <v>30</v>
      </c>
      <c r="D581">
        <v>7</v>
      </c>
    </row>
    <row r="582" spans="1:4" x14ac:dyDescent="0.3">
      <c r="A582">
        <v>2020</v>
      </c>
      <c r="B582" t="s">
        <v>121</v>
      </c>
      <c r="C582">
        <v>35</v>
      </c>
      <c r="D582">
        <v>2</v>
      </c>
    </row>
    <row r="583" spans="1:4" x14ac:dyDescent="0.3">
      <c r="A583">
        <v>2020</v>
      </c>
      <c r="B583" t="s">
        <v>121</v>
      </c>
      <c r="C583">
        <v>40</v>
      </c>
      <c r="D583">
        <v>5</v>
      </c>
    </row>
    <row r="584" spans="1:4" x14ac:dyDescent="0.3">
      <c r="A584">
        <v>2020</v>
      </c>
      <c r="B584" t="s">
        <v>121</v>
      </c>
      <c r="C584">
        <v>45</v>
      </c>
      <c r="D584">
        <v>1</v>
      </c>
    </row>
    <row r="585" spans="1:4" x14ac:dyDescent="0.3">
      <c r="A585">
        <v>2020</v>
      </c>
      <c r="B585" t="s">
        <v>121</v>
      </c>
      <c r="C585">
        <v>50</v>
      </c>
      <c r="D585">
        <v>2</v>
      </c>
    </row>
    <row r="586" spans="1:4" x14ac:dyDescent="0.3">
      <c r="A586">
        <v>2020</v>
      </c>
      <c r="B586" t="s">
        <v>121</v>
      </c>
      <c r="C586">
        <v>55</v>
      </c>
      <c r="D586">
        <v>2</v>
      </c>
    </row>
    <row r="587" spans="1:4" x14ac:dyDescent="0.3">
      <c r="A587">
        <v>2020</v>
      </c>
      <c r="B587" t="s">
        <v>121</v>
      </c>
      <c r="C587">
        <v>60</v>
      </c>
      <c r="D587">
        <v>1</v>
      </c>
    </row>
    <row r="588" spans="1:4" x14ac:dyDescent="0.3">
      <c r="A588">
        <v>2020</v>
      </c>
      <c r="B588" t="s">
        <v>121</v>
      </c>
      <c r="C588">
        <v>65</v>
      </c>
      <c r="D588">
        <v>0</v>
      </c>
    </row>
    <row r="589" spans="1:4" x14ac:dyDescent="0.3">
      <c r="A589">
        <v>2020</v>
      </c>
      <c r="B589" t="s">
        <v>121</v>
      </c>
      <c r="C589">
        <v>70</v>
      </c>
      <c r="D589">
        <v>2</v>
      </c>
    </row>
    <row r="590" spans="1:4" x14ac:dyDescent="0.3">
      <c r="A590">
        <v>2020</v>
      </c>
      <c r="B590" t="s">
        <v>121</v>
      </c>
      <c r="C590">
        <v>75</v>
      </c>
      <c r="D590">
        <v>1</v>
      </c>
    </row>
    <row r="591" spans="1:4" x14ac:dyDescent="0.3">
      <c r="A591">
        <v>2021</v>
      </c>
      <c r="B591" t="s">
        <v>121</v>
      </c>
      <c r="C591">
        <v>0</v>
      </c>
      <c r="D591">
        <v>1</v>
      </c>
    </row>
    <row r="592" spans="1:4" x14ac:dyDescent="0.3">
      <c r="A592">
        <v>2021</v>
      </c>
      <c r="B592" t="s">
        <v>121</v>
      </c>
      <c r="C592">
        <v>15</v>
      </c>
      <c r="D592">
        <v>3</v>
      </c>
    </row>
    <row r="593" spans="1:4" x14ac:dyDescent="0.3">
      <c r="A593">
        <v>2021</v>
      </c>
      <c r="B593" t="s">
        <v>121</v>
      </c>
      <c r="C593">
        <v>20</v>
      </c>
      <c r="D593">
        <v>1</v>
      </c>
    </row>
    <row r="594" spans="1:4" x14ac:dyDescent="0.3">
      <c r="A594">
        <v>2021</v>
      </c>
      <c r="B594" t="s">
        <v>121</v>
      </c>
      <c r="C594">
        <v>25</v>
      </c>
      <c r="D594">
        <v>3</v>
      </c>
    </row>
    <row r="595" spans="1:4" x14ac:dyDescent="0.3">
      <c r="A595">
        <v>2021</v>
      </c>
      <c r="B595" t="s">
        <v>121</v>
      </c>
      <c r="C595">
        <v>30</v>
      </c>
      <c r="D595">
        <v>7</v>
      </c>
    </row>
    <row r="596" spans="1:4" x14ac:dyDescent="0.3">
      <c r="A596">
        <v>2021</v>
      </c>
      <c r="B596" t="s">
        <v>121</v>
      </c>
      <c r="C596">
        <v>35</v>
      </c>
      <c r="D596">
        <v>6</v>
      </c>
    </row>
    <row r="597" spans="1:4" x14ac:dyDescent="0.3">
      <c r="A597">
        <v>2021</v>
      </c>
      <c r="B597" t="s">
        <v>121</v>
      </c>
      <c r="C597">
        <v>40</v>
      </c>
      <c r="D597">
        <v>0</v>
      </c>
    </row>
    <row r="598" spans="1:4" x14ac:dyDescent="0.3">
      <c r="A598">
        <v>2021</v>
      </c>
      <c r="B598" t="s">
        <v>121</v>
      </c>
      <c r="C598">
        <v>45</v>
      </c>
      <c r="D598">
        <v>2</v>
      </c>
    </row>
    <row r="599" spans="1:4" x14ac:dyDescent="0.3">
      <c r="A599">
        <v>2021</v>
      </c>
      <c r="B599" t="s">
        <v>121</v>
      </c>
      <c r="C599">
        <v>50</v>
      </c>
      <c r="D599">
        <v>1</v>
      </c>
    </row>
    <row r="600" spans="1:4" x14ac:dyDescent="0.3">
      <c r="A600">
        <v>2021</v>
      </c>
      <c r="B600" t="s">
        <v>121</v>
      </c>
      <c r="C600">
        <v>55</v>
      </c>
      <c r="D600">
        <v>0</v>
      </c>
    </row>
    <row r="601" spans="1:4" x14ac:dyDescent="0.3">
      <c r="A601">
        <v>2021</v>
      </c>
      <c r="B601" t="s">
        <v>121</v>
      </c>
      <c r="C601">
        <v>60</v>
      </c>
      <c r="D601">
        <v>0</v>
      </c>
    </row>
    <row r="602" spans="1:4" x14ac:dyDescent="0.3">
      <c r="A602">
        <v>2021</v>
      </c>
      <c r="B602" t="s">
        <v>121</v>
      </c>
      <c r="C602">
        <v>65</v>
      </c>
      <c r="D602">
        <v>1</v>
      </c>
    </row>
    <row r="603" spans="1:4" x14ac:dyDescent="0.3">
      <c r="A603">
        <v>2021</v>
      </c>
      <c r="B603" t="s">
        <v>121</v>
      </c>
      <c r="C603">
        <v>70</v>
      </c>
      <c r="D603">
        <v>0</v>
      </c>
    </row>
    <row r="604" spans="1:4" x14ac:dyDescent="0.3">
      <c r="A604">
        <v>2021</v>
      </c>
      <c r="B604" t="s">
        <v>121</v>
      </c>
      <c r="C604">
        <v>75</v>
      </c>
      <c r="D604">
        <v>0</v>
      </c>
    </row>
    <row r="605" spans="1:4" x14ac:dyDescent="0.3">
      <c r="A605">
        <v>2021</v>
      </c>
      <c r="B605" t="s">
        <v>121</v>
      </c>
      <c r="C605">
        <v>85</v>
      </c>
      <c r="D605">
        <v>1</v>
      </c>
    </row>
    <row r="606" spans="1:4" x14ac:dyDescent="0.3">
      <c r="A606">
        <v>2022</v>
      </c>
      <c r="B606" t="s">
        <v>121</v>
      </c>
      <c r="C606">
        <v>0</v>
      </c>
      <c r="D606">
        <v>2</v>
      </c>
    </row>
    <row r="607" spans="1:4" x14ac:dyDescent="0.3">
      <c r="A607">
        <v>2022</v>
      </c>
      <c r="B607" t="s">
        <v>121</v>
      </c>
      <c r="C607">
        <v>5</v>
      </c>
      <c r="D607">
        <v>1</v>
      </c>
    </row>
    <row r="608" spans="1:4" x14ac:dyDescent="0.3">
      <c r="A608">
        <v>2022</v>
      </c>
      <c r="B608" t="s">
        <v>121</v>
      </c>
      <c r="C608">
        <v>10</v>
      </c>
      <c r="D608">
        <v>0</v>
      </c>
    </row>
    <row r="609" spans="1:4" x14ac:dyDescent="0.3">
      <c r="A609">
        <v>2022</v>
      </c>
      <c r="B609" t="s">
        <v>121</v>
      </c>
      <c r="C609">
        <v>15</v>
      </c>
      <c r="D609">
        <v>5</v>
      </c>
    </row>
    <row r="610" spans="1:4" x14ac:dyDescent="0.3">
      <c r="A610">
        <v>2022</v>
      </c>
      <c r="B610" t="s">
        <v>121</v>
      </c>
      <c r="C610">
        <v>20</v>
      </c>
      <c r="D610">
        <v>2</v>
      </c>
    </row>
    <row r="611" spans="1:4" x14ac:dyDescent="0.3">
      <c r="A611">
        <v>2022</v>
      </c>
      <c r="B611" t="s">
        <v>121</v>
      </c>
      <c r="C611">
        <v>25</v>
      </c>
      <c r="D611">
        <v>3</v>
      </c>
    </row>
    <row r="612" spans="1:4" x14ac:dyDescent="0.3">
      <c r="A612">
        <v>2022</v>
      </c>
      <c r="B612" t="s">
        <v>121</v>
      </c>
      <c r="C612">
        <v>30</v>
      </c>
      <c r="D612">
        <v>6</v>
      </c>
    </row>
    <row r="613" spans="1:4" x14ac:dyDescent="0.3">
      <c r="A613">
        <v>2022</v>
      </c>
      <c r="B613" t="s">
        <v>121</v>
      </c>
      <c r="C613">
        <v>35</v>
      </c>
      <c r="D613">
        <v>0</v>
      </c>
    </row>
    <row r="614" spans="1:4" x14ac:dyDescent="0.3">
      <c r="A614">
        <v>2022</v>
      </c>
      <c r="B614" t="s">
        <v>121</v>
      </c>
      <c r="C614">
        <v>40</v>
      </c>
      <c r="D614">
        <v>4</v>
      </c>
    </row>
    <row r="615" spans="1:4" x14ac:dyDescent="0.3">
      <c r="A615">
        <v>2022</v>
      </c>
      <c r="B615" t="s">
        <v>121</v>
      </c>
      <c r="C615">
        <v>45</v>
      </c>
      <c r="D615">
        <v>0</v>
      </c>
    </row>
    <row r="616" spans="1:4" x14ac:dyDescent="0.3">
      <c r="A616">
        <v>2022</v>
      </c>
      <c r="B616" t="s">
        <v>121</v>
      </c>
      <c r="C616">
        <v>50</v>
      </c>
      <c r="D616">
        <v>2</v>
      </c>
    </row>
    <row r="617" spans="1:4" x14ac:dyDescent="0.3">
      <c r="A617">
        <v>2022</v>
      </c>
      <c r="B617" t="s">
        <v>121</v>
      </c>
      <c r="C617">
        <v>55</v>
      </c>
      <c r="D617">
        <v>2</v>
      </c>
    </row>
    <row r="618" spans="1:4" x14ac:dyDescent="0.3">
      <c r="A618">
        <v>2022</v>
      </c>
      <c r="B618" t="s">
        <v>121</v>
      </c>
      <c r="C618">
        <v>60</v>
      </c>
      <c r="D618">
        <v>0</v>
      </c>
    </row>
    <row r="619" spans="1:4" x14ac:dyDescent="0.3">
      <c r="A619">
        <v>2022</v>
      </c>
      <c r="B619" t="s">
        <v>121</v>
      </c>
      <c r="C619">
        <v>65</v>
      </c>
      <c r="D619">
        <v>0</v>
      </c>
    </row>
    <row r="620" spans="1:4" x14ac:dyDescent="0.3">
      <c r="A620">
        <v>2022</v>
      </c>
      <c r="B620" t="s">
        <v>121</v>
      </c>
      <c r="C620">
        <v>70</v>
      </c>
      <c r="D620">
        <v>1</v>
      </c>
    </row>
    <row r="621" spans="1:4" x14ac:dyDescent="0.3">
      <c r="A621">
        <v>2022</v>
      </c>
      <c r="B621" t="s">
        <v>121</v>
      </c>
      <c r="C621">
        <v>80</v>
      </c>
      <c r="D621">
        <v>0</v>
      </c>
    </row>
    <row r="622" spans="1:4" x14ac:dyDescent="0.3">
      <c r="A622">
        <v>2023</v>
      </c>
      <c r="B622" t="s">
        <v>121</v>
      </c>
      <c r="C622">
        <v>0</v>
      </c>
      <c r="D622">
        <v>1</v>
      </c>
    </row>
    <row r="623" spans="1:4" x14ac:dyDescent="0.3">
      <c r="A623">
        <v>2023</v>
      </c>
      <c r="B623" t="s">
        <v>121</v>
      </c>
      <c r="C623">
        <v>1</v>
      </c>
      <c r="D623">
        <v>1</v>
      </c>
    </row>
    <row r="624" spans="1:4" x14ac:dyDescent="0.3">
      <c r="A624">
        <v>2023</v>
      </c>
      <c r="B624" t="s">
        <v>121</v>
      </c>
      <c r="C624">
        <v>5</v>
      </c>
      <c r="D624">
        <v>0</v>
      </c>
    </row>
    <row r="625" spans="1:4" x14ac:dyDescent="0.3">
      <c r="A625">
        <v>2023</v>
      </c>
      <c r="B625" t="s">
        <v>121</v>
      </c>
      <c r="C625">
        <v>15</v>
      </c>
      <c r="D625">
        <v>1</v>
      </c>
    </row>
    <row r="626" spans="1:4" x14ac:dyDescent="0.3">
      <c r="A626">
        <v>2023</v>
      </c>
      <c r="B626" t="s">
        <v>121</v>
      </c>
      <c r="C626">
        <v>20</v>
      </c>
      <c r="D626">
        <v>4</v>
      </c>
    </row>
    <row r="627" spans="1:4" x14ac:dyDescent="0.3">
      <c r="A627">
        <v>2023</v>
      </c>
      <c r="B627" t="s">
        <v>121</v>
      </c>
      <c r="C627">
        <v>25</v>
      </c>
      <c r="D627">
        <v>6</v>
      </c>
    </row>
    <row r="628" spans="1:4" x14ac:dyDescent="0.3">
      <c r="A628">
        <v>2023</v>
      </c>
      <c r="B628" t="s">
        <v>121</v>
      </c>
      <c r="C628">
        <v>30</v>
      </c>
      <c r="D628">
        <v>4</v>
      </c>
    </row>
    <row r="629" spans="1:4" x14ac:dyDescent="0.3">
      <c r="A629">
        <v>2023</v>
      </c>
      <c r="B629" t="s">
        <v>121</v>
      </c>
      <c r="C629">
        <v>35</v>
      </c>
      <c r="D629">
        <v>1</v>
      </c>
    </row>
    <row r="630" spans="1:4" x14ac:dyDescent="0.3">
      <c r="A630">
        <v>2023</v>
      </c>
      <c r="B630" t="s">
        <v>121</v>
      </c>
      <c r="C630">
        <v>40</v>
      </c>
      <c r="D630">
        <v>3</v>
      </c>
    </row>
    <row r="631" spans="1:4" x14ac:dyDescent="0.3">
      <c r="A631">
        <v>2023</v>
      </c>
      <c r="B631" t="s">
        <v>121</v>
      </c>
      <c r="C631">
        <v>45</v>
      </c>
      <c r="D631">
        <v>0</v>
      </c>
    </row>
    <row r="632" spans="1:4" x14ac:dyDescent="0.3">
      <c r="A632">
        <v>2023</v>
      </c>
      <c r="B632" t="s">
        <v>121</v>
      </c>
      <c r="C632">
        <v>50</v>
      </c>
      <c r="D632">
        <v>2</v>
      </c>
    </row>
    <row r="633" spans="1:4" x14ac:dyDescent="0.3">
      <c r="A633">
        <v>2023</v>
      </c>
      <c r="B633" t="s">
        <v>121</v>
      </c>
      <c r="C633">
        <v>55</v>
      </c>
      <c r="D633">
        <v>1</v>
      </c>
    </row>
    <row r="634" spans="1:4" x14ac:dyDescent="0.3">
      <c r="A634">
        <v>2023</v>
      </c>
      <c r="B634" t="s">
        <v>121</v>
      </c>
      <c r="C634">
        <v>60</v>
      </c>
      <c r="D634">
        <v>1</v>
      </c>
    </row>
    <row r="635" spans="1:4" x14ac:dyDescent="0.3">
      <c r="A635">
        <v>2023</v>
      </c>
      <c r="B635" t="s">
        <v>121</v>
      </c>
      <c r="C635">
        <v>65</v>
      </c>
      <c r="D635">
        <v>1</v>
      </c>
    </row>
    <row r="636" spans="1:4" x14ac:dyDescent="0.3">
      <c r="A636">
        <v>2023</v>
      </c>
      <c r="B636" t="s">
        <v>121</v>
      </c>
      <c r="C636">
        <v>70</v>
      </c>
      <c r="D636">
        <v>1</v>
      </c>
    </row>
    <row r="637" spans="1:4" x14ac:dyDescent="0.3">
      <c r="A637">
        <v>2023</v>
      </c>
      <c r="B637" t="s">
        <v>121</v>
      </c>
      <c r="C637">
        <v>75</v>
      </c>
      <c r="D637">
        <v>1</v>
      </c>
    </row>
    <row r="638" spans="1:4" x14ac:dyDescent="0.3">
      <c r="A638">
        <v>2023</v>
      </c>
      <c r="B638" t="s">
        <v>121</v>
      </c>
      <c r="C638">
        <v>80</v>
      </c>
      <c r="D638">
        <v>2</v>
      </c>
    </row>
    <row r="639" spans="1:4" x14ac:dyDescent="0.3">
      <c r="A639">
        <v>2023</v>
      </c>
      <c r="B639" t="s">
        <v>121</v>
      </c>
      <c r="C639">
        <v>85</v>
      </c>
      <c r="D639">
        <v>1</v>
      </c>
    </row>
    <row r="640" spans="1:4" x14ac:dyDescent="0.3">
      <c r="A640">
        <v>2023</v>
      </c>
      <c r="B640" t="s">
        <v>120</v>
      </c>
      <c r="C640">
        <v>50</v>
      </c>
      <c r="D640">
        <v>1632.8638843004201</v>
      </c>
    </row>
    <row r="641" spans="1:4" x14ac:dyDescent="0.3">
      <c r="A641">
        <v>2023</v>
      </c>
      <c r="B641" t="s">
        <v>120</v>
      </c>
      <c r="C641">
        <v>55</v>
      </c>
      <c r="D641">
        <v>1117.9351047286</v>
      </c>
    </row>
    <row r="642" spans="1:4" x14ac:dyDescent="0.3">
      <c r="A642">
        <v>2023</v>
      </c>
      <c r="B642" t="s">
        <v>120</v>
      </c>
      <c r="C642">
        <v>60</v>
      </c>
      <c r="D642">
        <v>634.26964442535996</v>
      </c>
    </row>
    <row r="643" spans="1:4" x14ac:dyDescent="0.3">
      <c r="A643">
        <v>2023</v>
      </c>
      <c r="B643" t="s">
        <v>120</v>
      </c>
      <c r="C643">
        <v>65</v>
      </c>
      <c r="D643">
        <v>380.561786655216</v>
      </c>
    </row>
    <row r="644" spans="1:4" x14ac:dyDescent="0.3">
      <c r="A644">
        <v>2023</v>
      </c>
      <c r="B644" t="s">
        <v>120</v>
      </c>
      <c r="C644">
        <v>70</v>
      </c>
      <c r="D644">
        <v>212.85659253596799</v>
      </c>
    </row>
    <row r="645" spans="1:4" x14ac:dyDescent="0.3">
      <c r="A645">
        <v>2023</v>
      </c>
      <c r="B645" t="s">
        <v>120</v>
      </c>
      <c r="C645">
        <v>75</v>
      </c>
      <c r="D645">
        <v>116.10359592871001</v>
      </c>
    </row>
    <row r="646" spans="1:4" x14ac:dyDescent="0.3">
      <c r="A646">
        <v>2023</v>
      </c>
      <c r="B646" t="s">
        <v>120</v>
      </c>
      <c r="C646">
        <v>80</v>
      </c>
      <c r="D646">
        <v>58.051797964355004</v>
      </c>
    </row>
    <row r="647" spans="1:4" x14ac:dyDescent="0.3">
      <c r="A647">
        <v>2023</v>
      </c>
      <c r="B647" t="s">
        <v>120</v>
      </c>
      <c r="C647">
        <v>85</v>
      </c>
      <c r="D647">
        <v>39.776231938539503</v>
      </c>
    </row>
    <row r="648" spans="1:4" x14ac:dyDescent="0.3">
      <c r="A648">
        <v>2024</v>
      </c>
      <c r="B648" t="s">
        <v>120</v>
      </c>
      <c r="C648">
        <v>0</v>
      </c>
      <c r="D648">
        <v>15.475607016538</v>
      </c>
    </row>
    <row r="649" spans="1:4" x14ac:dyDescent="0.3">
      <c r="A649">
        <v>2024</v>
      </c>
      <c r="B649" t="s">
        <v>120</v>
      </c>
      <c r="C649">
        <v>1</v>
      </c>
      <c r="D649">
        <v>33.043579267454902</v>
      </c>
    </row>
    <row r="650" spans="1:4" x14ac:dyDescent="0.3">
      <c r="A650">
        <v>2024</v>
      </c>
      <c r="B650" t="s">
        <v>120</v>
      </c>
      <c r="C650">
        <v>5</v>
      </c>
      <c r="D650">
        <v>34.109501179308303</v>
      </c>
    </row>
    <row r="651" spans="1:4" x14ac:dyDescent="0.3">
      <c r="A651">
        <v>2024</v>
      </c>
      <c r="B651" t="s">
        <v>120</v>
      </c>
      <c r="C651">
        <v>10</v>
      </c>
      <c r="D651">
        <v>157.75644295430101</v>
      </c>
    </row>
    <row r="652" spans="1:4" x14ac:dyDescent="0.3">
      <c r="A652">
        <v>2024</v>
      </c>
      <c r="B652" t="s">
        <v>120</v>
      </c>
      <c r="C652">
        <v>15</v>
      </c>
      <c r="D652">
        <v>2030.5812420806999</v>
      </c>
    </row>
    <row r="653" spans="1:4" x14ac:dyDescent="0.3">
      <c r="A653">
        <v>2024</v>
      </c>
      <c r="B653" t="s">
        <v>120</v>
      </c>
      <c r="C653">
        <v>20</v>
      </c>
      <c r="D653">
        <v>3936.3287955124001</v>
      </c>
    </row>
    <row r="654" spans="1:4" x14ac:dyDescent="0.3">
      <c r="A654">
        <v>2024</v>
      </c>
      <c r="B654" t="s">
        <v>120</v>
      </c>
      <c r="C654">
        <v>25</v>
      </c>
      <c r="D654">
        <v>4456.6195134589998</v>
      </c>
    </row>
    <row r="655" spans="1:4" x14ac:dyDescent="0.3">
      <c r="A655">
        <v>2024</v>
      </c>
      <c r="B655" t="s">
        <v>120</v>
      </c>
      <c r="C655">
        <v>30</v>
      </c>
      <c r="D655">
        <v>4532.1829968274396</v>
      </c>
    </row>
    <row r="656" spans="1:4" x14ac:dyDescent="0.3">
      <c r="A656">
        <v>2024</v>
      </c>
      <c r="B656" t="s">
        <v>120</v>
      </c>
      <c r="C656">
        <v>35</v>
      </c>
      <c r="D656">
        <v>3718.8816681447402</v>
      </c>
    </row>
    <row r="657" spans="1:4" x14ac:dyDescent="0.3">
      <c r="A657">
        <v>2024</v>
      </c>
      <c r="B657" t="s">
        <v>120</v>
      </c>
      <c r="C657">
        <v>40</v>
      </c>
      <c r="D657">
        <v>3078.14780112266</v>
      </c>
    </row>
    <row r="658" spans="1:4" x14ac:dyDescent="0.3">
      <c r="A658">
        <v>2024</v>
      </c>
      <c r="B658" t="s">
        <v>120</v>
      </c>
      <c r="C658">
        <v>45</v>
      </c>
      <c r="D658">
        <v>2366.3466443145098</v>
      </c>
    </row>
    <row r="659" spans="1:4" x14ac:dyDescent="0.3">
      <c r="A659">
        <v>2024</v>
      </c>
      <c r="B659" t="s">
        <v>120</v>
      </c>
      <c r="C659">
        <v>50</v>
      </c>
      <c r="D659">
        <v>1696.84151374615</v>
      </c>
    </row>
    <row r="660" spans="1:4" x14ac:dyDescent="0.3">
      <c r="A660">
        <v>2024</v>
      </c>
      <c r="B660" t="s">
        <v>120</v>
      </c>
      <c r="C660">
        <v>55</v>
      </c>
      <c r="D660">
        <v>1087.24035009045</v>
      </c>
    </row>
    <row r="661" spans="1:4" x14ac:dyDescent="0.3">
      <c r="A661">
        <v>2024</v>
      </c>
      <c r="B661" t="s">
        <v>120</v>
      </c>
      <c r="C661">
        <v>60</v>
      </c>
      <c r="D661">
        <v>673.662648291339</v>
      </c>
    </row>
    <row r="662" spans="1:4" x14ac:dyDescent="0.3">
      <c r="A662">
        <v>2024</v>
      </c>
      <c r="B662" t="s">
        <v>120</v>
      </c>
      <c r="C662">
        <v>65</v>
      </c>
      <c r="D662">
        <v>389.06149782648498</v>
      </c>
    </row>
    <row r="663" spans="1:4" x14ac:dyDescent="0.3">
      <c r="A663">
        <v>2024</v>
      </c>
      <c r="B663" t="s">
        <v>120</v>
      </c>
      <c r="C663">
        <v>70</v>
      </c>
      <c r="D663">
        <v>204.65700707585</v>
      </c>
    </row>
    <row r="664" spans="1:4" x14ac:dyDescent="0.3">
      <c r="A664">
        <v>2024</v>
      </c>
      <c r="B664" t="s">
        <v>120</v>
      </c>
      <c r="C664">
        <v>75</v>
      </c>
      <c r="D664">
        <v>132.17431706982001</v>
      </c>
    </row>
    <row r="665" spans="1:4" x14ac:dyDescent="0.3">
      <c r="A665">
        <v>2024</v>
      </c>
      <c r="B665" t="s">
        <v>120</v>
      </c>
      <c r="C665">
        <v>80</v>
      </c>
      <c r="D665">
        <v>58.625705151936103</v>
      </c>
    </row>
    <row r="666" spans="1:4" x14ac:dyDescent="0.3">
      <c r="A666">
        <v>2024</v>
      </c>
      <c r="B666" t="s">
        <v>120</v>
      </c>
      <c r="C666">
        <v>85</v>
      </c>
      <c r="D666">
        <v>51.939467704855801</v>
      </c>
    </row>
    <row r="667" spans="1:4" x14ac:dyDescent="0.3">
      <c r="A667">
        <v>1990</v>
      </c>
      <c r="B667" t="s">
        <v>121</v>
      </c>
      <c r="C667">
        <v>0</v>
      </c>
      <c r="D667">
        <v>64.459034017401805</v>
      </c>
    </row>
    <row r="668" spans="1:4" x14ac:dyDescent="0.3">
      <c r="A668">
        <v>1990</v>
      </c>
      <c r="B668" t="s">
        <v>121</v>
      </c>
      <c r="C668">
        <v>1</v>
      </c>
      <c r="D668">
        <v>79.686172306126807</v>
      </c>
    </row>
    <row r="669" spans="1:4" x14ac:dyDescent="0.3">
      <c r="A669">
        <v>1990</v>
      </c>
      <c r="B669" t="s">
        <v>121</v>
      </c>
      <c r="C669">
        <v>5</v>
      </c>
      <c r="D669">
        <v>61.300818715169001</v>
      </c>
    </row>
    <row r="670" spans="1:4" x14ac:dyDescent="0.3">
      <c r="A670">
        <v>1990</v>
      </c>
      <c r="B670" t="s">
        <v>121</v>
      </c>
      <c r="C670">
        <v>10</v>
      </c>
      <c r="D670">
        <v>81.280344814927801</v>
      </c>
    </row>
    <row r="671" spans="1:4" x14ac:dyDescent="0.3">
      <c r="A671">
        <v>1990</v>
      </c>
      <c r="B671" t="s">
        <v>121</v>
      </c>
      <c r="C671">
        <v>15</v>
      </c>
      <c r="D671">
        <v>163.80595349707099</v>
      </c>
    </row>
    <row r="672" spans="1:4" x14ac:dyDescent="0.3">
      <c r="A672">
        <v>1990</v>
      </c>
      <c r="B672" t="s">
        <v>121</v>
      </c>
      <c r="C672">
        <v>20</v>
      </c>
      <c r="D672">
        <v>181.16383475191299</v>
      </c>
    </row>
    <row r="673" spans="1:4" x14ac:dyDescent="0.3">
      <c r="A673">
        <v>1990</v>
      </c>
      <c r="B673" t="s">
        <v>121</v>
      </c>
      <c r="C673">
        <v>25</v>
      </c>
      <c r="D673">
        <v>174.995453492862</v>
      </c>
    </row>
    <row r="674" spans="1:4" x14ac:dyDescent="0.3">
      <c r="A674">
        <v>1990</v>
      </c>
      <c r="B674" t="s">
        <v>121</v>
      </c>
      <c r="C674">
        <v>30</v>
      </c>
      <c r="D674">
        <v>110.192573813446</v>
      </c>
    </row>
    <row r="675" spans="1:4" x14ac:dyDescent="0.3">
      <c r="A675">
        <v>1990</v>
      </c>
      <c r="B675" t="s">
        <v>121</v>
      </c>
      <c r="C675">
        <v>35</v>
      </c>
      <c r="D675">
        <v>115.118780259332</v>
      </c>
    </row>
    <row r="676" spans="1:4" x14ac:dyDescent="0.3">
      <c r="A676">
        <v>1990</v>
      </c>
      <c r="B676" t="s">
        <v>121</v>
      </c>
      <c r="C676">
        <v>40</v>
      </c>
      <c r="D676">
        <v>96.520409467726793</v>
      </c>
    </row>
    <row r="677" spans="1:4" x14ac:dyDescent="0.3">
      <c r="A677">
        <v>1990</v>
      </c>
      <c r="B677" t="s">
        <v>121</v>
      </c>
      <c r="C677">
        <v>45</v>
      </c>
      <c r="D677">
        <v>72.2135397556074</v>
      </c>
    </row>
    <row r="678" spans="1:4" x14ac:dyDescent="0.3">
      <c r="A678">
        <v>1990</v>
      </c>
      <c r="B678" t="s">
        <v>121</v>
      </c>
      <c r="C678">
        <v>50</v>
      </c>
      <c r="D678">
        <v>46.7361982685835</v>
      </c>
    </row>
    <row r="679" spans="1:4" x14ac:dyDescent="0.3">
      <c r="A679">
        <v>1990</v>
      </c>
      <c r="B679" t="s">
        <v>121</v>
      </c>
      <c r="C679">
        <v>55</v>
      </c>
      <c r="D679">
        <v>57.098359457023001</v>
      </c>
    </row>
    <row r="680" spans="1:4" x14ac:dyDescent="0.3">
      <c r="A680">
        <v>1990</v>
      </c>
      <c r="B680" t="s">
        <v>121</v>
      </c>
      <c r="C680">
        <v>60</v>
      </c>
      <c r="D680">
        <v>53.089315244689502</v>
      </c>
    </row>
    <row r="681" spans="1:4" x14ac:dyDescent="0.3">
      <c r="A681">
        <v>1990</v>
      </c>
      <c r="B681" t="s">
        <v>121</v>
      </c>
      <c r="C681">
        <v>65</v>
      </c>
      <c r="D681">
        <v>42.672181027837098</v>
      </c>
    </row>
    <row r="682" spans="1:4" x14ac:dyDescent="0.3">
      <c r="A682">
        <v>1990</v>
      </c>
      <c r="B682" t="s">
        <v>121</v>
      </c>
      <c r="C682">
        <v>70</v>
      </c>
      <c r="D682">
        <v>29.623390535927101</v>
      </c>
    </row>
    <row r="683" spans="1:4" x14ac:dyDescent="0.3">
      <c r="A683">
        <v>1990</v>
      </c>
      <c r="B683" t="s">
        <v>121</v>
      </c>
      <c r="C683">
        <v>75</v>
      </c>
      <c r="D683">
        <v>36.576155166717498</v>
      </c>
    </row>
    <row r="684" spans="1:4" x14ac:dyDescent="0.3">
      <c r="A684">
        <v>1990</v>
      </c>
      <c r="B684" t="s">
        <v>121</v>
      </c>
      <c r="C684">
        <v>80</v>
      </c>
      <c r="D684">
        <v>28.448120685224701</v>
      </c>
    </row>
    <row r="685" spans="1:4" x14ac:dyDescent="0.3">
      <c r="A685">
        <v>1990</v>
      </c>
      <c r="B685" t="s">
        <v>121</v>
      </c>
      <c r="C685">
        <v>85</v>
      </c>
      <c r="D685">
        <v>34.064592511936198</v>
      </c>
    </row>
    <row r="686" spans="1:4" x14ac:dyDescent="0.3">
      <c r="A686">
        <v>1991</v>
      </c>
      <c r="B686" t="s">
        <v>121</v>
      </c>
      <c r="C686">
        <v>0</v>
      </c>
      <c r="D686">
        <v>61.131746384020602</v>
      </c>
    </row>
    <row r="687" spans="1:4" x14ac:dyDescent="0.3">
      <c r="A687">
        <v>1991</v>
      </c>
      <c r="B687" t="s">
        <v>121</v>
      </c>
      <c r="C687">
        <v>1</v>
      </c>
      <c r="D687">
        <v>82.355102122117103</v>
      </c>
    </row>
    <row r="688" spans="1:4" x14ac:dyDescent="0.3">
      <c r="A688">
        <v>1991</v>
      </c>
      <c r="B688" t="s">
        <v>121</v>
      </c>
      <c r="C688">
        <v>5</v>
      </c>
      <c r="D688">
        <v>62.138954732040503</v>
      </c>
    </row>
    <row r="689" spans="1:4" x14ac:dyDescent="0.3">
      <c r="A689">
        <v>1991</v>
      </c>
      <c r="B689" t="s">
        <v>121</v>
      </c>
      <c r="C689">
        <v>10</v>
      </c>
      <c r="D689">
        <v>73.245581422870501</v>
      </c>
    </row>
    <row r="690" spans="1:4" x14ac:dyDescent="0.3">
      <c r="A690">
        <v>1991</v>
      </c>
      <c r="B690" t="s">
        <v>121</v>
      </c>
      <c r="C690">
        <v>15</v>
      </c>
      <c r="D690">
        <v>204.13061385639801</v>
      </c>
    </row>
    <row r="691" spans="1:4" x14ac:dyDescent="0.3">
      <c r="A691">
        <v>1991</v>
      </c>
      <c r="B691" t="s">
        <v>121</v>
      </c>
      <c r="C691">
        <v>20</v>
      </c>
      <c r="D691">
        <v>170.397262115171</v>
      </c>
    </row>
    <row r="692" spans="1:4" x14ac:dyDescent="0.3">
      <c r="A692">
        <v>1991</v>
      </c>
      <c r="B692" t="s">
        <v>121</v>
      </c>
      <c r="C692">
        <v>25</v>
      </c>
      <c r="D692">
        <v>158.12533756712401</v>
      </c>
    </row>
    <row r="693" spans="1:4" x14ac:dyDescent="0.3">
      <c r="A693">
        <v>1991</v>
      </c>
      <c r="B693" t="s">
        <v>121</v>
      </c>
      <c r="C693">
        <v>30</v>
      </c>
      <c r="D693">
        <v>131.13769371407</v>
      </c>
    </row>
    <row r="694" spans="1:4" x14ac:dyDescent="0.3">
      <c r="A694">
        <v>1991</v>
      </c>
      <c r="B694" t="s">
        <v>121</v>
      </c>
      <c r="C694">
        <v>35</v>
      </c>
      <c r="D694">
        <v>122.500011457022</v>
      </c>
    </row>
    <row r="695" spans="1:4" x14ac:dyDescent="0.3">
      <c r="A695">
        <v>1991</v>
      </c>
      <c r="B695" t="s">
        <v>121</v>
      </c>
      <c r="C695">
        <v>40</v>
      </c>
      <c r="D695">
        <v>78.961661279827695</v>
      </c>
    </row>
    <row r="696" spans="1:4" x14ac:dyDescent="0.3">
      <c r="A696">
        <v>1991</v>
      </c>
      <c r="B696" t="s">
        <v>121</v>
      </c>
      <c r="C696">
        <v>45</v>
      </c>
      <c r="D696">
        <v>82.141192765955793</v>
      </c>
    </row>
    <row r="697" spans="1:4" x14ac:dyDescent="0.3">
      <c r="A697">
        <v>1991</v>
      </c>
      <c r="B697" t="s">
        <v>121</v>
      </c>
      <c r="C697">
        <v>50</v>
      </c>
      <c r="D697">
        <v>47.1276086784938</v>
      </c>
    </row>
    <row r="698" spans="1:4" x14ac:dyDescent="0.3">
      <c r="A698">
        <v>1991</v>
      </c>
      <c r="B698" t="s">
        <v>121</v>
      </c>
      <c r="C698">
        <v>55</v>
      </c>
      <c r="D698">
        <v>46.189430831083698</v>
      </c>
    </row>
    <row r="699" spans="1:4" x14ac:dyDescent="0.3">
      <c r="A699">
        <v>1991</v>
      </c>
      <c r="B699" t="s">
        <v>121</v>
      </c>
      <c r="C699">
        <v>60</v>
      </c>
      <c r="D699">
        <v>52.488760112438001</v>
      </c>
    </row>
    <row r="700" spans="1:4" x14ac:dyDescent="0.3">
      <c r="A700">
        <v>1991</v>
      </c>
      <c r="B700" t="s">
        <v>121</v>
      </c>
      <c r="C700">
        <v>65</v>
      </c>
      <c r="D700">
        <v>65.568846857034899</v>
      </c>
    </row>
    <row r="701" spans="1:4" x14ac:dyDescent="0.3">
      <c r="A701">
        <v>1991</v>
      </c>
      <c r="B701" t="s">
        <v>121</v>
      </c>
      <c r="C701">
        <v>70</v>
      </c>
      <c r="D701">
        <v>36.882476357082098</v>
      </c>
    </row>
    <row r="702" spans="1:4" x14ac:dyDescent="0.3">
      <c r="A702">
        <v>1991</v>
      </c>
      <c r="B702" t="s">
        <v>121</v>
      </c>
      <c r="C702">
        <v>75</v>
      </c>
      <c r="D702">
        <v>24.588317571388099</v>
      </c>
    </row>
    <row r="703" spans="1:4" x14ac:dyDescent="0.3">
      <c r="A703">
        <v>1991</v>
      </c>
      <c r="B703" t="s">
        <v>121</v>
      </c>
      <c r="C703">
        <v>80</v>
      </c>
      <c r="D703">
        <v>20.490264642823401</v>
      </c>
    </row>
    <row r="704" spans="1:4" x14ac:dyDescent="0.3">
      <c r="A704">
        <v>1991</v>
      </c>
      <c r="B704" t="s">
        <v>121</v>
      </c>
      <c r="C704">
        <v>85</v>
      </c>
      <c r="D704">
        <v>24.588317571388099</v>
      </c>
    </row>
    <row r="705" spans="1:4" x14ac:dyDescent="0.3">
      <c r="A705">
        <v>1992</v>
      </c>
      <c r="B705" t="s">
        <v>121</v>
      </c>
      <c r="C705">
        <v>0</v>
      </c>
      <c r="D705">
        <v>52.649125754712202</v>
      </c>
    </row>
    <row r="706" spans="1:4" x14ac:dyDescent="0.3">
      <c r="A706">
        <v>1992</v>
      </c>
      <c r="B706" t="s">
        <v>121</v>
      </c>
      <c r="C706">
        <v>1</v>
      </c>
      <c r="D706">
        <v>88.364614288506502</v>
      </c>
    </row>
    <row r="707" spans="1:4" x14ac:dyDescent="0.3">
      <c r="A707">
        <v>1992</v>
      </c>
      <c r="B707" t="s">
        <v>121</v>
      </c>
      <c r="C707">
        <v>5</v>
      </c>
      <c r="D707">
        <v>56.878372415590398</v>
      </c>
    </row>
    <row r="708" spans="1:4" x14ac:dyDescent="0.3">
      <c r="A708">
        <v>1992</v>
      </c>
      <c r="B708" t="s">
        <v>121</v>
      </c>
      <c r="C708">
        <v>10</v>
      </c>
      <c r="D708">
        <v>61.956798524125198</v>
      </c>
    </row>
    <row r="709" spans="1:4" x14ac:dyDescent="0.3">
      <c r="A709">
        <v>1992</v>
      </c>
      <c r="B709" t="s">
        <v>121</v>
      </c>
      <c r="C709">
        <v>15</v>
      </c>
      <c r="D709">
        <v>189.135349105129</v>
      </c>
    </row>
    <row r="710" spans="1:4" x14ac:dyDescent="0.3">
      <c r="A710">
        <v>1992</v>
      </c>
      <c r="B710" t="s">
        <v>121</v>
      </c>
      <c r="C710">
        <v>20</v>
      </c>
      <c r="D710">
        <v>225.55631537532099</v>
      </c>
    </row>
    <row r="711" spans="1:4" x14ac:dyDescent="0.3">
      <c r="A711">
        <v>1992</v>
      </c>
      <c r="B711" t="s">
        <v>121</v>
      </c>
      <c r="C711">
        <v>25</v>
      </c>
      <c r="D711">
        <v>171.65080246847799</v>
      </c>
    </row>
    <row r="712" spans="1:4" x14ac:dyDescent="0.3">
      <c r="A712">
        <v>1992</v>
      </c>
      <c r="B712" t="s">
        <v>121</v>
      </c>
      <c r="C712">
        <v>30</v>
      </c>
      <c r="D712">
        <v>146.32775963101199</v>
      </c>
    </row>
    <row r="713" spans="1:4" x14ac:dyDescent="0.3">
      <c r="A713">
        <v>1992</v>
      </c>
      <c r="B713" t="s">
        <v>121</v>
      </c>
      <c r="C713">
        <v>35</v>
      </c>
      <c r="D713">
        <v>135.40361071378899</v>
      </c>
    </row>
    <row r="714" spans="1:4" x14ac:dyDescent="0.3">
      <c r="A714">
        <v>1992</v>
      </c>
      <c r="B714" t="s">
        <v>121</v>
      </c>
      <c r="C714">
        <v>40</v>
      </c>
      <c r="D714">
        <v>113.017611677199</v>
      </c>
    </row>
    <row r="715" spans="1:4" x14ac:dyDescent="0.3">
      <c r="A715">
        <v>1992</v>
      </c>
      <c r="B715" t="s">
        <v>121</v>
      </c>
      <c r="C715">
        <v>45</v>
      </c>
      <c r="D715">
        <v>85.676412708026504</v>
      </c>
    </row>
    <row r="716" spans="1:4" x14ac:dyDescent="0.3">
      <c r="A716">
        <v>1992</v>
      </c>
      <c r="B716" t="s">
        <v>121</v>
      </c>
      <c r="C716">
        <v>50</v>
      </c>
      <c r="D716">
        <v>69.156760343797401</v>
      </c>
    </row>
    <row r="717" spans="1:4" x14ac:dyDescent="0.3">
      <c r="A717">
        <v>1992</v>
      </c>
      <c r="B717" t="s">
        <v>121</v>
      </c>
      <c r="C717">
        <v>55</v>
      </c>
      <c r="D717">
        <v>57.992684652011697</v>
      </c>
    </row>
    <row r="718" spans="1:4" x14ac:dyDescent="0.3">
      <c r="A718">
        <v>1992</v>
      </c>
      <c r="B718" t="s">
        <v>121</v>
      </c>
      <c r="C718">
        <v>60</v>
      </c>
      <c r="D718">
        <v>47.737205420227603</v>
      </c>
    </row>
    <row r="719" spans="1:4" x14ac:dyDescent="0.3">
      <c r="A719">
        <v>1992</v>
      </c>
      <c r="B719" t="s">
        <v>121</v>
      </c>
      <c r="C719">
        <v>65</v>
      </c>
      <c r="D719">
        <v>48.752890641934599</v>
      </c>
    </row>
    <row r="720" spans="1:4" x14ac:dyDescent="0.3">
      <c r="A720">
        <v>1992</v>
      </c>
      <c r="B720" t="s">
        <v>121</v>
      </c>
      <c r="C720">
        <v>70</v>
      </c>
      <c r="D720">
        <v>30.470556651209101</v>
      </c>
    </row>
    <row r="721" spans="1:4" x14ac:dyDescent="0.3">
      <c r="A721">
        <v>1992</v>
      </c>
      <c r="B721" t="s">
        <v>121</v>
      </c>
      <c r="C721">
        <v>75</v>
      </c>
      <c r="D721">
        <v>31.4862418729161</v>
      </c>
    </row>
    <row r="722" spans="1:4" x14ac:dyDescent="0.3">
      <c r="A722">
        <v>1992</v>
      </c>
      <c r="B722" t="s">
        <v>121</v>
      </c>
      <c r="C722">
        <v>80</v>
      </c>
      <c r="D722">
        <v>21.329389655846398</v>
      </c>
    </row>
    <row r="723" spans="1:4" x14ac:dyDescent="0.3">
      <c r="A723">
        <v>1992</v>
      </c>
      <c r="B723" t="s">
        <v>121</v>
      </c>
      <c r="C723">
        <v>85</v>
      </c>
      <c r="D723">
        <v>23.3607600992603</v>
      </c>
    </row>
    <row r="724" spans="1:4" x14ac:dyDescent="0.3">
      <c r="A724">
        <v>1993</v>
      </c>
      <c r="B724" t="s">
        <v>121</v>
      </c>
      <c r="C724">
        <v>0</v>
      </c>
      <c r="D724">
        <v>45.324525160564299</v>
      </c>
    </row>
    <row r="725" spans="1:4" x14ac:dyDescent="0.3">
      <c r="A725">
        <v>1993</v>
      </c>
      <c r="B725" t="s">
        <v>121</v>
      </c>
      <c r="C725">
        <v>1</v>
      </c>
      <c r="D725">
        <v>92.939403334306206</v>
      </c>
    </row>
    <row r="726" spans="1:4" x14ac:dyDescent="0.3">
      <c r="A726">
        <v>1993</v>
      </c>
      <c r="B726" t="s">
        <v>121</v>
      </c>
      <c r="C726">
        <v>5</v>
      </c>
      <c r="D726">
        <v>58.932328335734802</v>
      </c>
    </row>
    <row r="727" spans="1:4" x14ac:dyDescent="0.3">
      <c r="A727">
        <v>1993</v>
      </c>
      <c r="B727" t="s">
        <v>121</v>
      </c>
      <c r="C727">
        <v>10</v>
      </c>
      <c r="D727">
        <v>54.868029829821999</v>
      </c>
    </row>
    <row r="728" spans="1:4" x14ac:dyDescent="0.3">
      <c r="A728">
        <v>1993</v>
      </c>
      <c r="B728" t="s">
        <v>121</v>
      </c>
      <c r="C728">
        <v>15</v>
      </c>
      <c r="D728">
        <v>169.78824516780301</v>
      </c>
    </row>
    <row r="729" spans="1:4" x14ac:dyDescent="0.3">
      <c r="A729">
        <v>1993</v>
      </c>
      <c r="B729" t="s">
        <v>121</v>
      </c>
      <c r="C729">
        <v>20</v>
      </c>
      <c r="D729">
        <v>186.009051229287</v>
      </c>
    </row>
    <row r="730" spans="1:4" x14ac:dyDescent="0.3">
      <c r="A730">
        <v>1993</v>
      </c>
      <c r="B730" t="s">
        <v>121</v>
      </c>
      <c r="C730">
        <v>25</v>
      </c>
      <c r="D730">
        <v>173.81792862821899</v>
      </c>
    </row>
    <row r="731" spans="1:4" x14ac:dyDescent="0.3">
      <c r="A731">
        <v>1993</v>
      </c>
      <c r="B731" t="s">
        <v>121</v>
      </c>
      <c r="C731">
        <v>30</v>
      </c>
      <c r="D731">
        <v>149.517510154468</v>
      </c>
    </row>
    <row r="732" spans="1:4" x14ac:dyDescent="0.3">
      <c r="A732">
        <v>1993</v>
      </c>
      <c r="B732" t="s">
        <v>121</v>
      </c>
      <c r="C732">
        <v>35</v>
      </c>
      <c r="D732">
        <v>123.96110443033901</v>
      </c>
    </row>
    <row r="733" spans="1:4" x14ac:dyDescent="0.3">
      <c r="A733">
        <v>1993</v>
      </c>
      <c r="B733" t="s">
        <v>121</v>
      </c>
      <c r="C733">
        <v>40</v>
      </c>
      <c r="D733">
        <v>92.623177463998005</v>
      </c>
    </row>
    <row r="734" spans="1:4" x14ac:dyDescent="0.3">
      <c r="A734">
        <v>1993</v>
      </c>
      <c r="B734" t="s">
        <v>121</v>
      </c>
      <c r="C734">
        <v>45</v>
      </c>
      <c r="D734">
        <v>77.221671612342107</v>
      </c>
    </row>
    <row r="735" spans="1:4" x14ac:dyDescent="0.3">
      <c r="A735">
        <v>1993</v>
      </c>
      <c r="B735" t="s">
        <v>121</v>
      </c>
      <c r="C735">
        <v>50</v>
      </c>
      <c r="D735">
        <v>66.139065914692694</v>
      </c>
    </row>
    <row r="736" spans="1:4" x14ac:dyDescent="0.3">
      <c r="A736">
        <v>1993</v>
      </c>
      <c r="B736" t="s">
        <v>121</v>
      </c>
      <c r="C736">
        <v>55</v>
      </c>
      <c r="D736">
        <v>65.028776094603899</v>
      </c>
    </row>
    <row r="737" spans="1:4" x14ac:dyDescent="0.3">
      <c r="A737">
        <v>1993</v>
      </c>
      <c r="B737" t="s">
        <v>121</v>
      </c>
      <c r="C737">
        <v>60</v>
      </c>
      <c r="D737">
        <v>54.868029829821999</v>
      </c>
    </row>
    <row r="738" spans="1:4" x14ac:dyDescent="0.3">
      <c r="A738">
        <v>1993</v>
      </c>
      <c r="B738" t="s">
        <v>121</v>
      </c>
      <c r="C738">
        <v>65</v>
      </c>
      <c r="D738">
        <v>32.5143880473019</v>
      </c>
    </row>
    <row r="739" spans="1:4" x14ac:dyDescent="0.3">
      <c r="A739">
        <v>1993</v>
      </c>
      <c r="B739" t="s">
        <v>121</v>
      </c>
      <c r="C739">
        <v>70</v>
      </c>
      <c r="D739">
        <v>47.755507444474702</v>
      </c>
    </row>
    <row r="740" spans="1:4" x14ac:dyDescent="0.3">
      <c r="A740">
        <v>1993</v>
      </c>
      <c r="B740" t="s">
        <v>121</v>
      </c>
      <c r="C740">
        <v>75</v>
      </c>
      <c r="D740">
        <v>27.859348479483302</v>
      </c>
    </row>
    <row r="741" spans="1:4" x14ac:dyDescent="0.3">
      <c r="A741">
        <v>1993</v>
      </c>
      <c r="B741" t="s">
        <v>121</v>
      </c>
      <c r="C741">
        <v>80</v>
      </c>
      <c r="D741">
        <v>15.241119397172801</v>
      </c>
    </row>
    <row r="742" spans="1:4" x14ac:dyDescent="0.3">
      <c r="A742">
        <v>1993</v>
      </c>
      <c r="B742" t="s">
        <v>121</v>
      </c>
      <c r="C742">
        <v>85</v>
      </c>
      <c r="D742">
        <v>27.434014914911</v>
      </c>
    </row>
    <row r="743" spans="1:4" x14ac:dyDescent="0.3">
      <c r="A743">
        <v>1994</v>
      </c>
      <c r="B743" t="s">
        <v>121</v>
      </c>
      <c r="C743">
        <v>0</v>
      </c>
      <c r="D743">
        <v>55.367758509021002</v>
      </c>
    </row>
    <row r="744" spans="1:4" x14ac:dyDescent="0.3">
      <c r="A744">
        <v>1994</v>
      </c>
      <c r="B744" t="s">
        <v>121</v>
      </c>
      <c r="C744">
        <v>1</v>
      </c>
      <c r="D744">
        <v>84.918426011866899</v>
      </c>
    </row>
    <row r="745" spans="1:4" x14ac:dyDescent="0.3">
      <c r="A745">
        <v>1994</v>
      </c>
      <c r="B745" t="s">
        <v>121</v>
      </c>
      <c r="C745">
        <v>5</v>
      </c>
      <c r="D745">
        <v>45.565984689294403</v>
      </c>
    </row>
    <row r="746" spans="1:4" x14ac:dyDescent="0.3">
      <c r="A746">
        <v>1994</v>
      </c>
      <c r="B746" t="s">
        <v>121</v>
      </c>
      <c r="C746">
        <v>10</v>
      </c>
      <c r="D746">
        <v>79.740473206265193</v>
      </c>
    </row>
    <row r="747" spans="1:4" x14ac:dyDescent="0.3">
      <c r="A747">
        <v>1994</v>
      </c>
      <c r="B747" t="s">
        <v>121</v>
      </c>
      <c r="C747">
        <v>15</v>
      </c>
      <c r="D747">
        <v>176.050395390456</v>
      </c>
    </row>
    <row r="748" spans="1:4" x14ac:dyDescent="0.3">
      <c r="A748">
        <v>1994</v>
      </c>
      <c r="B748" t="s">
        <v>121</v>
      </c>
      <c r="C748">
        <v>20</v>
      </c>
      <c r="D748">
        <v>175.01480482933499</v>
      </c>
    </row>
    <row r="749" spans="1:4" x14ac:dyDescent="0.3">
      <c r="A749">
        <v>1994</v>
      </c>
      <c r="B749" t="s">
        <v>121</v>
      </c>
      <c r="C749">
        <v>25</v>
      </c>
      <c r="D749">
        <v>135.662363506763</v>
      </c>
    </row>
    <row r="750" spans="1:4" x14ac:dyDescent="0.3">
      <c r="A750">
        <v>1994</v>
      </c>
      <c r="B750" t="s">
        <v>121</v>
      </c>
      <c r="C750">
        <v>30</v>
      </c>
      <c r="D750">
        <v>136.69795406788299</v>
      </c>
    </row>
    <row r="751" spans="1:4" x14ac:dyDescent="0.3">
      <c r="A751">
        <v>1994</v>
      </c>
      <c r="B751" t="s">
        <v>121</v>
      </c>
      <c r="C751">
        <v>35</v>
      </c>
      <c r="D751">
        <v>115.986142845477</v>
      </c>
    </row>
    <row r="752" spans="1:4" x14ac:dyDescent="0.3">
      <c r="A752">
        <v>1994</v>
      </c>
      <c r="B752" t="s">
        <v>121</v>
      </c>
      <c r="C752">
        <v>40</v>
      </c>
      <c r="D752">
        <v>102.52346555091199</v>
      </c>
    </row>
    <row r="753" spans="1:4" x14ac:dyDescent="0.3">
      <c r="A753">
        <v>1994</v>
      </c>
      <c r="B753" t="s">
        <v>121</v>
      </c>
      <c r="C753">
        <v>45</v>
      </c>
      <c r="D753">
        <v>75.598110961784002</v>
      </c>
    </row>
    <row r="754" spans="1:4" x14ac:dyDescent="0.3">
      <c r="A754">
        <v>1994</v>
      </c>
      <c r="B754" t="s">
        <v>121</v>
      </c>
      <c r="C754">
        <v>50</v>
      </c>
      <c r="D754">
        <v>52.815118617136697</v>
      </c>
    </row>
    <row r="755" spans="1:4" x14ac:dyDescent="0.3">
      <c r="A755">
        <v>1994</v>
      </c>
      <c r="B755" t="s">
        <v>121</v>
      </c>
      <c r="C755">
        <v>55</v>
      </c>
      <c r="D755">
        <v>66.277795911701006</v>
      </c>
    </row>
    <row r="756" spans="1:4" x14ac:dyDescent="0.3">
      <c r="A756">
        <v>1994</v>
      </c>
      <c r="B756" t="s">
        <v>121</v>
      </c>
      <c r="C756">
        <v>60</v>
      </c>
      <c r="D756">
        <v>39.352441322572503</v>
      </c>
    </row>
    <row r="757" spans="1:4" x14ac:dyDescent="0.3">
      <c r="A757">
        <v>1994</v>
      </c>
      <c r="B757" t="s">
        <v>121</v>
      </c>
      <c r="C757">
        <v>65</v>
      </c>
      <c r="D757">
        <v>26.925354589128499</v>
      </c>
    </row>
    <row r="758" spans="1:4" x14ac:dyDescent="0.3">
      <c r="A758">
        <v>1994</v>
      </c>
      <c r="B758" t="s">
        <v>121</v>
      </c>
      <c r="C758">
        <v>70</v>
      </c>
      <c r="D758">
        <v>34.174488516970797</v>
      </c>
    </row>
    <row r="759" spans="1:4" x14ac:dyDescent="0.3">
      <c r="A759">
        <v>1994</v>
      </c>
      <c r="B759" t="s">
        <v>121</v>
      </c>
      <c r="C759">
        <v>75</v>
      </c>
      <c r="D759">
        <v>32.103307394730201</v>
      </c>
    </row>
    <row r="760" spans="1:4" x14ac:dyDescent="0.3">
      <c r="A760">
        <v>1994</v>
      </c>
      <c r="B760" t="s">
        <v>121</v>
      </c>
      <c r="C760">
        <v>80</v>
      </c>
      <c r="D760">
        <v>26.925354589128499</v>
      </c>
    </row>
    <row r="761" spans="1:4" x14ac:dyDescent="0.3">
      <c r="A761">
        <v>1994</v>
      </c>
      <c r="B761" t="s">
        <v>121</v>
      </c>
      <c r="C761">
        <v>85</v>
      </c>
      <c r="D761">
        <v>14.498267855684601</v>
      </c>
    </row>
    <row r="762" spans="1:4" x14ac:dyDescent="0.3">
      <c r="A762">
        <v>1995</v>
      </c>
      <c r="B762" t="s">
        <v>121</v>
      </c>
      <c r="C762">
        <v>0</v>
      </c>
      <c r="D762">
        <v>68.604795173649606</v>
      </c>
    </row>
    <row r="763" spans="1:4" x14ac:dyDescent="0.3">
      <c r="A763">
        <v>1995</v>
      </c>
      <c r="B763" t="s">
        <v>121</v>
      </c>
      <c r="C763">
        <v>1</v>
      </c>
      <c r="D763">
        <v>62.582039621019298</v>
      </c>
    </row>
    <row r="764" spans="1:4" x14ac:dyDescent="0.3">
      <c r="A764">
        <v>1995</v>
      </c>
      <c r="B764" t="s">
        <v>121</v>
      </c>
      <c r="C764">
        <v>5</v>
      </c>
      <c r="D764">
        <v>46.167078408948697</v>
      </c>
    </row>
    <row r="765" spans="1:4" x14ac:dyDescent="0.3">
      <c r="A765">
        <v>1995</v>
      </c>
      <c r="B765" t="s">
        <v>121</v>
      </c>
      <c r="C765">
        <v>10</v>
      </c>
      <c r="D765">
        <v>73.867325454317907</v>
      </c>
    </row>
    <row r="766" spans="1:4" x14ac:dyDescent="0.3">
      <c r="A766">
        <v>1995</v>
      </c>
      <c r="B766" t="s">
        <v>121</v>
      </c>
      <c r="C766">
        <v>15</v>
      </c>
      <c r="D766">
        <v>179.65499511914601</v>
      </c>
    </row>
    <row r="767" spans="1:4" x14ac:dyDescent="0.3">
      <c r="A767">
        <v>1995</v>
      </c>
      <c r="B767" t="s">
        <v>121</v>
      </c>
      <c r="C767">
        <v>20</v>
      </c>
      <c r="D767">
        <v>200.05733977211099</v>
      </c>
    </row>
    <row r="768" spans="1:4" x14ac:dyDescent="0.3">
      <c r="A768">
        <v>1995</v>
      </c>
      <c r="B768" t="s">
        <v>121</v>
      </c>
      <c r="C768">
        <v>25</v>
      </c>
      <c r="D768">
        <v>166.26896155856201</v>
      </c>
    </row>
    <row r="769" spans="1:4" x14ac:dyDescent="0.3">
      <c r="A769">
        <v>1995</v>
      </c>
      <c r="B769" t="s">
        <v>121</v>
      </c>
      <c r="C769">
        <v>30</v>
      </c>
      <c r="D769">
        <v>130.36414562816901</v>
      </c>
    </row>
    <row r="770" spans="1:4" x14ac:dyDescent="0.3">
      <c r="A770">
        <v>1995</v>
      </c>
      <c r="B770" t="s">
        <v>121</v>
      </c>
      <c r="C770">
        <v>35</v>
      </c>
      <c r="D770">
        <v>133.53500538710301</v>
      </c>
    </row>
    <row r="771" spans="1:4" x14ac:dyDescent="0.3">
      <c r="A771">
        <v>1995</v>
      </c>
      <c r="B771" t="s">
        <v>121</v>
      </c>
      <c r="C771">
        <v>40</v>
      </c>
      <c r="D771">
        <v>105.76109301749</v>
      </c>
    </row>
    <row r="772" spans="1:4" x14ac:dyDescent="0.3">
      <c r="A772">
        <v>1995</v>
      </c>
      <c r="B772" t="s">
        <v>121</v>
      </c>
      <c r="C772">
        <v>45</v>
      </c>
      <c r="D772">
        <v>72.921523921334199</v>
      </c>
    </row>
    <row r="773" spans="1:4" x14ac:dyDescent="0.3">
      <c r="A773">
        <v>1995</v>
      </c>
      <c r="B773" t="s">
        <v>121</v>
      </c>
      <c r="C773">
        <v>50</v>
      </c>
      <c r="D773">
        <v>55.400494090738398</v>
      </c>
    </row>
    <row r="774" spans="1:4" x14ac:dyDescent="0.3">
      <c r="A774">
        <v>1995</v>
      </c>
      <c r="B774" t="s">
        <v>121</v>
      </c>
      <c r="C774">
        <v>55</v>
      </c>
      <c r="D774">
        <v>65.659844848282603</v>
      </c>
    </row>
    <row r="775" spans="1:4" x14ac:dyDescent="0.3">
      <c r="A775">
        <v>1995</v>
      </c>
      <c r="B775" t="s">
        <v>121</v>
      </c>
      <c r="C775">
        <v>60</v>
      </c>
      <c r="D775">
        <v>28.7261821211236</v>
      </c>
    </row>
    <row r="776" spans="1:4" x14ac:dyDescent="0.3">
      <c r="A776">
        <v>1995</v>
      </c>
      <c r="B776" t="s">
        <v>121</v>
      </c>
      <c r="C776">
        <v>65</v>
      </c>
      <c r="D776">
        <v>36.933662727159003</v>
      </c>
    </row>
    <row r="777" spans="1:4" x14ac:dyDescent="0.3">
      <c r="A777">
        <v>1995</v>
      </c>
      <c r="B777" t="s">
        <v>121</v>
      </c>
      <c r="C777">
        <v>70</v>
      </c>
      <c r="D777">
        <v>30.7780522726325</v>
      </c>
    </row>
    <row r="778" spans="1:4" x14ac:dyDescent="0.3">
      <c r="A778">
        <v>1995</v>
      </c>
      <c r="B778" t="s">
        <v>121</v>
      </c>
      <c r="C778">
        <v>75</v>
      </c>
      <c r="D778">
        <v>25.648376893860402</v>
      </c>
    </row>
    <row r="779" spans="1:4" x14ac:dyDescent="0.3">
      <c r="A779">
        <v>1995</v>
      </c>
      <c r="B779" t="s">
        <v>121</v>
      </c>
      <c r="C779">
        <v>80</v>
      </c>
      <c r="D779">
        <v>17.440896287825101</v>
      </c>
    </row>
    <row r="780" spans="1:4" x14ac:dyDescent="0.3">
      <c r="A780">
        <v>1995</v>
      </c>
      <c r="B780" t="s">
        <v>121</v>
      </c>
      <c r="C780">
        <v>85</v>
      </c>
      <c r="D780">
        <v>26.674311969614799</v>
      </c>
    </row>
    <row r="781" spans="1:4" x14ac:dyDescent="0.3">
      <c r="A781">
        <v>1996</v>
      </c>
      <c r="B781" t="s">
        <v>121</v>
      </c>
      <c r="C781">
        <v>0</v>
      </c>
      <c r="D781">
        <v>60.784504185375098</v>
      </c>
    </row>
    <row r="782" spans="1:4" x14ac:dyDescent="0.3">
      <c r="A782">
        <v>1996</v>
      </c>
      <c r="B782" t="s">
        <v>121</v>
      </c>
      <c r="C782">
        <v>1</v>
      </c>
      <c r="D782">
        <v>75.652963287584498</v>
      </c>
    </row>
    <row r="783" spans="1:4" x14ac:dyDescent="0.3">
      <c r="A783">
        <v>1996</v>
      </c>
      <c r="B783" t="s">
        <v>121</v>
      </c>
      <c r="C783">
        <v>5</v>
      </c>
      <c r="D783">
        <v>43.270325013317901</v>
      </c>
    </row>
    <row r="784" spans="1:4" x14ac:dyDescent="0.3">
      <c r="A784">
        <v>1996</v>
      </c>
      <c r="B784" t="s">
        <v>121</v>
      </c>
      <c r="C784">
        <v>10</v>
      </c>
      <c r="D784">
        <v>57.6937666844238</v>
      </c>
    </row>
    <row r="785" spans="1:4" x14ac:dyDescent="0.3">
      <c r="A785">
        <v>1996</v>
      </c>
      <c r="B785" t="s">
        <v>121</v>
      </c>
      <c r="C785">
        <v>15</v>
      </c>
      <c r="D785">
        <v>178.467819689143</v>
      </c>
    </row>
    <row r="786" spans="1:4" x14ac:dyDescent="0.3">
      <c r="A786">
        <v>1996</v>
      </c>
      <c r="B786" t="s">
        <v>121</v>
      </c>
      <c r="C786">
        <v>20</v>
      </c>
      <c r="D786">
        <v>168.96031671866999</v>
      </c>
    </row>
    <row r="787" spans="1:4" x14ac:dyDescent="0.3">
      <c r="A787">
        <v>1996</v>
      </c>
      <c r="B787" t="s">
        <v>121</v>
      </c>
      <c r="C787">
        <v>25</v>
      </c>
      <c r="D787">
        <v>161.74859588311699</v>
      </c>
    </row>
    <row r="788" spans="1:4" x14ac:dyDescent="0.3">
      <c r="A788">
        <v>1996</v>
      </c>
      <c r="B788" t="s">
        <v>121</v>
      </c>
      <c r="C788">
        <v>30</v>
      </c>
      <c r="D788">
        <v>133.93195837455499</v>
      </c>
    </row>
    <row r="789" spans="1:4" x14ac:dyDescent="0.3">
      <c r="A789">
        <v>1996</v>
      </c>
      <c r="B789" t="s">
        <v>121</v>
      </c>
      <c r="C789">
        <v>35</v>
      </c>
      <c r="D789">
        <v>130.84122087360399</v>
      </c>
    </row>
    <row r="790" spans="1:4" x14ac:dyDescent="0.3">
      <c r="A790">
        <v>1996</v>
      </c>
      <c r="B790" t="s">
        <v>121</v>
      </c>
      <c r="C790">
        <v>40</v>
      </c>
      <c r="D790">
        <v>111.26655003424599</v>
      </c>
    </row>
    <row r="791" spans="1:4" x14ac:dyDescent="0.3">
      <c r="A791">
        <v>1996</v>
      </c>
      <c r="B791" t="s">
        <v>121</v>
      </c>
      <c r="C791">
        <v>45</v>
      </c>
      <c r="D791">
        <v>82.508099810802307</v>
      </c>
    </row>
    <row r="792" spans="1:4" x14ac:dyDescent="0.3">
      <c r="A792">
        <v>1996</v>
      </c>
      <c r="B792" t="s">
        <v>121</v>
      </c>
      <c r="C792">
        <v>50</v>
      </c>
      <c r="D792">
        <v>59.851577990734</v>
      </c>
    </row>
    <row r="793" spans="1:4" x14ac:dyDescent="0.3">
      <c r="A793">
        <v>1996</v>
      </c>
      <c r="B793" t="s">
        <v>121</v>
      </c>
      <c r="C793">
        <v>55</v>
      </c>
      <c r="D793">
        <v>49.4518000152204</v>
      </c>
    </row>
    <row r="794" spans="1:4" x14ac:dyDescent="0.3">
      <c r="A794">
        <v>1996</v>
      </c>
      <c r="B794" t="s">
        <v>121</v>
      </c>
      <c r="C794">
        <v>60</v>
      </c>
      <c r="D794">
        <v>38.119095845065701</v>
      </c>
    </row>
    <row r="795" spans="1:4" x14ac:dyDescent="0.3">
      <c r="A795">
        <v>1996</v>
      </c>
      <c r="B795" t="s">
        <v>121</v>
      </c>
      <c r="C795">
        <v>65</v>
      </c>
      <c r="D795">
        <v>42.240079179667397</v>
      </c>
    </row>
    <row r="796" spans="1:4" x14ac:dyDescent="0.3">
      <c r="A796">
        <v>1996</v>
      </c>
      <c r="B796" t="s">
        <v>121</v>
      </c>
      <c r="C796">
        <v>70</v>
      </c>
      <c r="D796">
        <v>29.877129175862301</v>
      </c>
    </row>
    <row r="797" spans="1:4" x14ac:dyDescent="0.3">
      <c r="A797">
        <v>1996</v>
      </c>
      <c r="B797" t="s">
        <v>121</v>
      </c>
      <c r="C797">
        <v>75</v>
      </c>
      <c r="D797">
        <v>22.665408340309401</v>
      </c>
    </row>
    <row r="798" spans="1:4" x14ac:dyDescent="0.3">
      <c r="A798">
        <v>1996</v>
      </c>
      <c r="B798" t="s">
        <v>121</v>
      </c>
      <c r="C798">
        <v>80</v>
      </c>
      <c r="D798">
        <v>19.574670839358099</v>
      </c>
    </row>
    <row r="799" spans="1:4" x14ac:dyDescent="0.3">
      <c r="A799">
        <v>1996</v>
      </c>
      <c r="B799" t="s">
        <v>121</v>
      </c>
      <c r="C799">
        <v>85</v>
      </c>
      <c r="D799">
        <v>16.4839333384068</v>
      </c>
    </row>
    <row r="800" spans="1:4" x14ac:dyDescent="0.3">
      <c r="A800">
        <v>1997</v>
      </c>
      <c r="B800" t="s">
        <v>121</v>
      </c>
      <c r="C800">
        <v>0</v>
      </c>
      <c r="D800">
        <v>55.795932817315602</v>
      </c>
    </row>
    <row r="801" spans="1:4" x14ac:dyDescent="0.3">
      <c r="A801">
        <v>1997</v>
      </c>
      <c r="B801" t="s">
        <v>121</v>
      </c>
      <c r="C801">
        <v>1</v>
      </c>
      <c r="D801">
        <v>52.208231375872998</v>
      </c>
    </row>
    <row r="802" spans="1:4" x14ac:dyDescent="0.3">
      <c r="A802">
        <v>1997</v>
      </c>
      <c r="B802" t="s">
        <v>121</v>
      </c>
      <c r="C802">
        <v>5</v>
      </c>
      <c r="D802">
        <v>38.900250829081898</v>
      </c>
    </row>
    <row r="803" spans="1:4" x14ac:dyDescent="0.3">
      <c r="A803">
        <v>1997</v>
      </c>
      <c r="B803" t="s">
        <v>121</v>
      </c>
      <c r="C803">
        <v>10</v>
      </c>
      <c r="D803">
        <v>56.302994621039502</v>
      </c>
    </row>
    <row r="804" spans="1:4" x14ac:dyDescent="0.3">
      <c r="A804">
        <v>1997</v>
      </c>
      <c r="B804" t="s">
        <v>121</v>
      </c>
      <c r="C804">
        <v>15</v>
      </c>
      <c r="D804">
        <v>186.311727655076</v>
      </c>
    </row>
    <row r="805" spans="1:4" x14ac:dyDescent="0.3">
      <c r="A805">
        <v>1997</v>
      </c>
      <c r="B805" t="s">
        <v>121</v>
      </c>
      <c r="C805">
        <v>20</v>
      </c>
      <c r="D805">
        <v>175.129067790855</v>
      </c>
    </row>
    <row r="806" spans="1:4" x14ac:dyDescent="0.3">
      <c r="A806">
        <v>1997</v>
      </c>
      <c r="B806" t="s">
        <v>121</v>
      </c>
      <c r="C806">
        <v>25</v>
      </c>
      <c r="D806">
        <v>122.842897354995</v>
      </c>
    </row>
    <row r="807" spans="1:4" x14ac:dyDescent="0.3">
      <c r="A807">
        <v>1997</v>
      </c>
      <c r="B807" t="s">
        <v>121</v>
      </c>
      <c r="C807">
        <v>30</v>
      </c>
      <c r="D807">
        <v>144.34040439212001</v>
      </c>
    </row>
    <row r="808" spans="1:4" x14ac:dyDescent="0.3">
      <c r="A808">
        <v>1997</v>
      </c>
      <c r="B808" t="s">
        <v>121</v>
      </c>
      <c r="C808">
        <v>35</v>
      </c>
      <c r="D808">
        <v>128.98504222274499</v>
      </c>
    </row>
    <row r="809" spans="1:4" x14ac:dyDescent="0.3">
      <c r="A809">
        <v>1997</v>
      </c>
      <c r="B809" t="s">
        <v>121</v>
      </c>
      <c r="C809">
        <v>40</v>
      </c>
      <c r="D809">
        <v>81.973186182971801</v>
      </c>
    </row>
    <row r="810" spans="1:4" x14ac:dyDescent="0.3">
      <c r="A810">
        <v>1997</v>
      </c>
      <c r="B810" t="s">
        <v>121</v>
      </c>
      <c r="C810">
        <v>45</v>
      </c>
      <c r="D810">
        <v>60.473729888679301</v>
      </c>
    </row>
    <row r="811" spans="1:4" x14ac:dyDescent="0.3">
      <c r="A811">
        <v>1997</v>
      </c>
      <c r="B811" t="s">
        <v>121</v>
      </c>
      <c r="C811">
        <v>50</v>
      </c>
      <c r="D811">
        <v>41.971323262956702</v>
      </c>
    </row>
    <row r="812" spans="1:4" x14ac:dyDescent="0.3">
      <c r="A812">
        <v>1997</v>
      </c>
      <c r="B812" t="s">
        <v>121</v>
      </c>
      <c r="C812">
        <v>55</v>
      </c>
      <c r="D812">
        <v>44.018704885539996</v>
      </c>
    </row>
    <row r="813" spans="1:4" x14ac:dyDescent="0.3">
      <c r="A813">
        <v>1997</v>
      </c>
      <c r="B813" t="s">
        <v>121</v>
      </c>
      <c r="C813">
        <v>60</v>
      </c>
      <c r="D813">
        <v>37.876560017790197</v>
      </c>
    </row>
    <row r="814" spans="1:4" x14ac:dyDescent="0.3">
      <c r="A814">
        <v>1997</v>
      </c>
      <c r="B814" t="s">
        <v>121</v>
      </c>
      <c r="C814">
        <v>65</v>
      </c>
      <c r="D814">
        <v>31.734415150040501</v>
      </c>
    </row>
    <row r="815" spans="1:4" x14ac:dyDescent="0.3">
      <c r="A815">
        <v>1997</v>
      </c>
      <c r="B815" t="s">
        <v>121</v>
      </c>
      <c r="C815">
        <v>70</v>
      </c>
      <c r="D815">
        <v>17.4027437919577</v>
      </c>
    </row>
    <row r="816" spans="1:4" x14ac:dyDescent="0.3">
      <c r="A816">
        <v>1997</v>
      </c>
      <c r="B816" t="s">
        <v>121</v>
      </c>
      <c r="C816">
        <v>75</v>
      </c>
      <c r="D816">
        <v>28.663342716165602</v>
      </c>
    </row>
    <row r="817" spans="1:4" x14ac:dyDescent="0.3">
      <c r="A817">
        <v>1997</v>
      </c>
      <c r="B817" t="s">
        <v>121</v>
      </c>
      <c r="C817">
        <v>80</v>
      </c>
      <c r="D817">
        <v>16.379052980666</v>
      </c>
    </row>
    <row r="818" spans="1:4" x14ac:dyDescent="0.3">
      <c r="A818">
        <v>1997</v>
      </c>
      <c r="B818" t="s">
        <v>121</v>
      </c>
      <c r="C818">
        <v>85</v>
      </c>
      <c r="D818">
        <v>29.0172111447602</v>
      </c>
    </row>
    <row r="819" spans="1:4" x14ac:dyDescent="0.3">
      <c r="A819">
        <v>1998</v>
      </c>
      <c r="B819" t="s">
        <v>121</v>
      </c>
      <c r="C819">
        <v>0</v>
      </c>
      <c r="D819">
        <v>43.566744494354602</v>
      </c>
    </row>
    <row r="820" spans="1:4" x14ac:dyDescent="0.3">
      <c r="A820">
        <v>1998</v>
      </c>
      <c r="B820" t="s">
        <v>121</v>
      </c>
      <c r="C820">
        <v>1</v>
      </c>
      <c r="D820">
        <v>61.5059922273241</v>
      </c>
    </row>
    <row r="821" spans="1:4" x14ac:dyDescent="0.3">
      <c r="A821">
        <v>1998</v>
      </c>
      <c r="B821" t="s">
        <v>121</v>
      </c>
      <c r="C821">
        <v>5</v>
      </c>
      <c r="D821">
        <v>38.953795077305202</v>
      </c>
    </row>
    <row r="822" spans="1:4" x14ac:dyDescent="0.3">
      <c r="A822">
        <v>1998</v>
      </c>
      <c r="B822" t="s">
        <v>121</v>
      </c>
      <c r="C822">
        <v>10</v>
      </c>
      <c r="D822">
        <v>66.631491579601104</v>
      </c>
    </row>
    <row r="823" spans="1:4" x14ac:dyDescent="0.3">
      <c r="A823">
        <v>1998</v>
      </c>
      <c r="B823" t="s">
        <v>121</v>
      </c>
      <c r="C823">
        <v>15</v>
      </c>
      <c r="D823">
        <v>150.68968095694399</v>
      </c>
    </row>
    <row r="824" spans="1:4" x14ac:dyDescent="0.3">
      <c r="A824">
        <v>1998</v>
      </c>
      <c r="B824" t="s">
        <v>121</v>
      </c>
      <c r="C824">
        <v>20</v>
      </c>
      <c r="D824">
        <v>207.07017383199101</v>
      </c>
    </row>
    <row r="825" spans="1:4" x14ac:dyDescent="0.3">
      <c r="A825">
        <v>1998</v>
      </c>
      <c r="B825" t="s">
        <v>121</v>
      </c>
      <c r="C825">
        <v>25</v>
      </c>
      <c r="D825">
        <v>164.09556004883399</v>
      </c>
    </row>
    <row r="826" spans="1:4" x14ac:dyDescent="0.3">
      <c r="A826">
        <v>1998</v>
      </c>
      <c r="B826" t="s">
        <v>121</v>
      </c>
      <c r="C826">
        <v>30</v>
      </c>
      <c r="D826">
        <v>137.363382641024</v>
      </c>
    </row>
    <row r="827" spans="1:4" x14ac:dyDescent="0.3">
      <c r="A827">
        <v>1998</v>
      </c>
      <c r="B827" t="s">
        <v>121</v>
      </c>
      <c r="C827">
        <v>35</v>
      </c>
      <c r="D827">
        <v>112.76098575009399</v>
      </c>
    </row>
    <row r="828" spans="1:4" x14ac:dyDescent="0.3">
      <c r="A828">
        <v>1998</v>
      </c>
      <c r="B828" t="s">
        <v>121</v>
      </c>
      <c r="C828">
        <v>40</v>
      </c>
      <c r="D828">
        <v>105.58528665690601</v>
      </c>
    </row>
    <row r="829" spans="1:4" x14ac:dyDescent="0.3">
      <c r="A829">
        <v>1998</v>
      </c>
      <c r="B829" t="s">
        <v>121</v>
      </c>
      <c r="C829">
        <v>45</v>
      </c>
      <c r="D829">
        <v>91.233888470530701</v>
      </c>
    </row>
    <row r="830" spans="1:4" x14ac:dyDescent="0.3">
      <c r="A830">
        <v>1998</v>
      </c>
      <c r="B830" t="s">
        <v>121</v>
      </c>
      <c r="C830">
        <v>50</v>
      </c>
      <c r="D830">
        <v>68.795214777240005</v>
      </c>
    </row>
    <row r="831" spans="1:4" x14ac:dyDescent="0.3">
      <c r="A831">
        <v>1998</v>
      </c>
      <c r="B831" t="s">
        <v>121</v>
      </c>
      <c r="C831">
        <v>55</v>
      </c>
      <c r="D831">
        <v>62.531092097779499</v>
      </c>
    </row>
    <row r="832" spans="1:4" x14ac:dyDescent="0.3">
      <c r="A832">
        <v>1998</v>
      </c>
      <c r="B832" t="s">
        <v>121</v>
      </c>
      <c r="C832">
        <v>60</v>
      </c>
      <c r="D832">
        <v>50.3620775829786</v>
      </c>
    </row>
    <row r="833" spans="1:4" x14ac:dyDescent="0.3">
      <c r="A833">
        <v>1998</v>
      </c>
      <c r="B833" t="s">
        <v>121</v>
      </c>
      <c r="C833">
        <v>65</v>
      </c>
      <c r="D833">
        <v>35.878495465938997</v>
      </c>
    </row>
    <row r="834" spans="1:4" x14ac:dyDescent="0.3">
      <c r="A834">
        <v>1998</v>
      </c>
      <c r="B834" t="s">
        <v>121</v>
      </c>
      <c r="C834">
        <v>70</v>
      </c>
      <c r="D834">
        <v>46.129494170493103</v>
      </c>
    </row>
    <row r="835" spans="1:4" x14ac:dyDescent="0.3">
      <c r="A835">
        <v>1998</v>
      </c>
      <c r="B835" t="s">
        <v>121</v>
      </c>
      <c r="C835">
        <v>75</v>
      </c>
      <c r="D835">
        <v>27.677696502295799</v>
      </c>
    </row>
    <row r="836" spans="1:4" x14ac:dyDescent="0.3">
      <c r="A836">
        <v>1998</v>
      </c>
      <c r="B836" t="s">
        <v>121</v>
      </c>
      <c r="C836">
        <v>80</v>
      </c>
      <c r="D836">
        <v>17.426697797741799</v>
      </c>
    </row>
    <row r="837" spans="1:4" x14ac:dyDescent="0.3">
      <c r="A837">
        <v>1998</v>
      </c>
      <c r="B837" t="s">
        <v>121</v>
      </c>
      <c r="C837">
        <v>85</v>
      </c>
      <c r="D837">
        <v>33.828295725028198</v>
      </c>
    </row>
    <row r="838" spans="1:4" x14ac:dyDescent="0.3">
      <c r="A838">
        <v>1999</v>
      </c>
      <c r="B838" t="s">
        <v>121</v>
      </c>
      <c r="C838">
        <v>0</v>
      </c>
      <c r="D838">
        <v>43.2953781499386</v>
      </c>
    </row>
    <row r="839" spans="1:4" x14ac:dyDescent="0.3">
      <c r="A839">
        <v>1999</v>
      </c>
      <c r="B839" t="s">
        <v>121</v>
      </c>
      <c r="C839">
        <v>1</v>
      </c>
      <c r="D839">
        <v>53.195235958613502</v>
      </c>
    </row>
    <row r="840" spans="1:4" x14ac:dyDescent="0.3">
      <c r="A840">
        <v>1999</v>
      </c>
      <c r="B840" t="s">
        <v>121</v>
      </c>
      <c r="C840">
        <v>5</v>
      </c>
      <c r="D840">
        <v>37.850456355167303</v>
      </c>
    </row>
    <row r="841" spans="1:4" x14ac:dyDescent="0.3">
      <c r="A841">
        <v>1999</v>
      </c>
      <c r="B841" t="s">
        <v>121</v>
      </c>
      <c r="C841">
        <v>10</v>
      </c>
      <c r="D841">
        <v>70.585986175852597</v>
      </c>
    </row>
    <row r="842" spans="1:4" x14ac:dyDescent="0.3">
      <c r="A842">
        <v>1999</v>
      </c>
      <c r="B842" t="s">
        <v>121</v>
      </c>
      <c r="C842">
        <v>15</v>
      </c>
      <c r="D842">
        <v>145.263913579291</v>
      </c>
    </row>
    <row r="843" spans="1:4" x14ac:dyDescent="0.3">
      <c r="A843">
        <v>1999</v>
      </c>
      <c r="B843" t="s">
        <v>121</v>
      </c>
      <c r="C843">
        <v>20</v>
      </c>
      <c r="D843">
        <v>182.09138462756201</v>
      </c>
    </row>
    <row r="844" spans="1:4" x14ac:dyDescent="0.3">
      <c r="A844">
        <v>1999</v>
      </c>
      <c r="B844" t="s">
        <v>121</v>
      </c>
      <c r="C844">
        <v>25</v>
      </c>
      <c r="D844">
        <v>156.769198329273</v>
      </c>
    </row>
    <row r="845" spans="1:4" x14ac:dyDescent="0.3">
      <c r="A845">
        <v>1999</v>
      </c>
      <c r="B845" t="s">
        <v>121</v>
      </c>
      <c r="C845">
        <v>30</v>
      </c>
      <c r="D845">
        <v>138.10301643101599</v>
      </c>
    </row>
    <row r="846" spans="1:4" x14ac:dyDescent="0.3">
      <c r="A846">
        <v>1999</v>
      </c>
      <c r="B846" t="s">
        <v>121</v>
      </c>
      <c r="C846">
        <v>35</v>
      </c>
      <c r="D846">
        <v>129.919133975845</v>
      </c>
    </row>
    <row r="847" spans="1:4" x14ac:dyDescent="0.3">
      <c r="A847">
        <v>1999</v>
      </c>
      <c r="B847" t="s">
        <v>121</v>
      </c>
      <c r="C847">
        <v>40</v>
      </c>
      <c r="D847">
        <v>105.367486610331</v>
      </c>
    </row>
    <row r="848" spans="1:4" x14ac:dyDescent="0.3">
      <c r="A848">
        <v>1999</v>
      </c>
      <c r="B848" t="s">
        <v>121</v>
      </c>
      <c r="C848">
        <v>45</v>
      </c>
      <c r="D848">
        <v>68.540015562059807</v>
      </c>
    </row>
    <row r="849" spans="1:4" x14ac:dyDescent="0.3">
      <c r="A849">
        <v>1999</v>
      </c>
      <c r="B849" t="s">
        <v>121</v>
      </c>
      <c r="C849">
        <v>50</v>
      </c>
      <c r="D849">
        <v>45.090878862988902</v>
      </c>
    </row>
    <row r="850" spans="1:4" x14ac:dyDescent="0.3">
      <c r="A850">
        <v>1999</v>
      </c>
      <c r="B850" t="s">
        <v>121</v>
      </c>
      <c r="C850">
        <v>55</v>
      </c>
      <c r="D850">
        <v>46.034338810338603</v>
      </c>
    </row>
    <row r="851" spans="1:4" x14ac:dyDescent="0.3">
      <c r="A851">
        <v>1999</v>
      </c>
      <c r="B851" t="s">
        <v>121</v>
      </c>
      <c r="C851">
        <v>60</v>
      </c>
      <c r="D851">
        <v>37.850456355167303</v>
      </c>
    </row>
    <row r="852" spans="1:4" x14ac:dyDescent="0.3">
      <c r="A852">
        <v>1999</v>
      </c>
      <c r="B852" t="s">
        <v>121</v>
      </c>
      <c r="C852">
        <v>65</v>
      </c>
      <c r="D852">
        <v>36.827471048270901</v>
      </c>
    </row>
    <row r="853" spans="1:4" x14ac:dyDescent="0.3">
      <c r="A853">
        <v>1999</v>
      </c>
      <c r="B853" t="s">
        <v>121</v>
      </c>
      <c r="C853">
        <v>70</v>
      </c>
      <c r="D853">
        <v>27.620603286203199</v>
      </c>
    </row>
    <row r="854" spans="1:4" x14ac:dyDescent="0.3">
      <c r="A854">
        <v>1999</v>
      </c>
      <c r="B854" t="s">
        <v>121</v>
      </c>
      <c r="C854">
        <v>75</v>
      </c>
      <c r="D854">
        <v>26.597617979306801</v>
      </c>
    </row>
    <row r="855" spans="1:4" x14ac:dyDescent="0.3">
      <c r="A855">
        <v>1999</v>
      </c>
      <c r="B855" t="s">
        <v>121</v>
      </c>
      <c r="C855">
        <v>80</v>
      </c>
      <c r="D855">
        <v>27.620603286203199</v>
      </c>
    </row>
    <row r="856" spans="1:4" x14ac:dyDescent="0.3">
      <c r="A856">
        <v>1999</v>
      </c>
      <c r="B856" t="s">
        <v>121</v>
      </c>
      <c r="C856">
        <v>85</v>
      </c>
      <c r="D856">
        <v>33.758515127581703</v>
      </c>
    </row>
    <row r="857" spans="1:4" x14ac:dyDescent="0.3">
      <c r="A857">
        <v>2000</v>
      </c>
      <c r="B857" t="s">
        <v>121</v>
      </c>
      <c r="C857">
        <v>0</v>
      </c>
      <c r="D857">
        <v>31.6438629090026</v>
      </c>
    </row>
    <row r="858" spans="1:4" x14ac:dyDescent="0.3">
      <c r="A858">
        <v>2000</v>
      </c>
      <c r="B858" t="s">
        <v>121</v>
      </c>
      <c r="C858">
        <v>1</v>
      </c>
      <c r="D858">
        <v>49.722255473892702</v>
      </c>
    </row>
    <row r="859" spans="1:4" x14ac:dyDescent="0.3">
      <c r="A859">
        <v>2000</v>
      </c>
      <c r="B859" t="s">
        <v>121</v>
      </c>
      <c r="C859">
        <v>5</v>
      </c>
      <c r="D859">
        <v>28.412717413652999</v>
      </c>
    </row>
    <row r="860" spans="1:4" x14ac:dyDescent="0.3">
      <c r="A860">
        <v>2000</v>
      </c>
      <c r="B860" t="s">
        <v>121</v>
      </c>
      <c r="C860">
        <v>10</v>
      </c>
      <c r="D860">
        <v>44.648555935740397</v>
      </c>
    </row>
    <row r="861" spans="1:4" x14ac:dyDescent="0.3">
      <c r="A861">
        <v>2000</v>
      </c>
      <c r="B861" t="s">
        <v>121</v>
      </c>
      <c r="C861">
        <v>15</v>
      </c>
      <c r="D861">
        <v>144.09306688352601</v>
      </c>
    </row>
    <row r="862" spans="1:4" x14ac:dyDescent="0.3">
      <c r="A862">
        <v>2000</v>
      </c>
      <c r="B862" t="s">
        <v>121</v>
      </c>
      <c r="C862">
        <v>20</v>
      </c>
      <c r="D862">
        <v>148.152026514048</v>
      </c>
    </row>
    <row r="863" spans="1:4" x14ac:dyDescent="0.3">
      <c r="A863">
        <v>2000</v>
      </c>
      <c r="B863" t="s">
        <v>121</v>
      </c>
      <c r="C863">
        <v>25</v>
      </c>
      <c r="D863">
        <v>141.04884716063401</v>
      </c>
    </row>
    <row r="864" spans="1:4" x14ac:dyDescent="0.3">
      <c r="A864">
        <v>2000</v>
      </c>
      <c r="B864" t="s">
        <v>121</v>
      </c>
      <c r="C864">
        <v>30</v>
      </c>
      <c r="D864">
        <v>130.99884499510699</v>
      </c>
    </row>
    <row r="865" spans="1:4" x14ac:dyDescent="0.3">
      <c r="A865">
        <v>2000</v>
      </c>
      <c r="B865" t="s">
        <v>121</v>
      </c>
      <c r="C865">
        <v>35</v>
      </c>
      <c r="D865">
        <v>116.695089377503</v>
      </c>
    </row>
    <row r="866" spans="1:4" x14ac:dyDescent="0.3">
      <c r="A866">
        <v>2000</v>
      </c>
      <c r="B866" t="s">
        <v>121</v>
      </c>
      <c r="C866">
        <v>40</v>
      </c>
      <c r="D866">
        <v>87.267632056219895</v>
      </c>
    </row>
    <row r="867" spans="1:4" x14ac:dyDescent="0.3">
      <c r="A867">
        <v>2000</v>
      </c>
      <c r="B867" t="s">
        <v>121</v>
      </c>
      <c r="C867">
        <v>45</v>
      </c>
      <c r="D867">
        <v>72.146598071543096</v>
      </c>
    </row>
    <row r="868" spans="1:4" x14ac:dyDescent="0.3">
      <c r="A868">
        <v>2000</v>
      </c>
      <c r="B868" t="s">
        <v>121</v>
      </c>
      <c r="C868">
        <v>50</v>
      </c>
      <c r="D868">
        <v>55.810694919675498</v>
      </c>
    </row>
    <row r="869" spans="1:4" x14ac:dyDescent="0.3">
      <c r="A869">
        <v>2000</v>
      </c>
      <c r="B869" t="s">
        <v>121</v>
      </c>
      <c r="C869">
        <v>55</v>
      </c>
      <c r="D869">
        <v>43.633816028109898</v>
      </c>
    </row>
    <row r="870" spans="1:4" x14ac:dyDescent="0.3">
      <c r="A870">
        <v>2000</v>
      </c>
      <c r="B870" t="s">
        <v>121</v>
      </c>
      <c r="C870">
        <v>60</v>
      </c>
      <c r="D870">
        <v>52.7664751967841</v>
      </c>
    </row>
    <row r="871" spans="1:4" x14ac:dyDescent="0.3">
      <c r="A871">
        <v>2000</v>
      </c>
      <c r="B871" t="s">
        <v>121</v>
      </c>
      <c r="C871">
        <v>65</v>
      </c>
      <c r="D871">
        <v>38.560116489957601</v>
      </c>
    </row>
    <row r="872" spans="1:4" x14ac:dyDescent="0.3">
      <c r="A872">
        <v>2000</v>
      </c>
      <c r="B872" t="s">
        <v>121</v>
      </c>
      <c r="C872">
        <v>70</v>
      </c>
      <c r="D872">
        <v>34.501156859435802</v>
      </c>
    </row>
    <row r="873" spans="1:4" x14ac:dyDescent="0.3">
      <c r="A873">
        <v>2000</v>
      </c>
      <c r="B873" t="s">
        <v>121</v>
      </c>
      <c r="C873">
        <v>75</v>
      </c>
      <c r="D873">
        <v>22.324277967870199</v>
      </c>
    </row>
    <row r="874" spans="1:4" x14ac:dyDescent="0.3">
      <c r="A874">
        <v>2000</v>
      </c>
      <c r="B874" t="s">
        <v>121</v>
      </c>
      <c r="C874">
        <v>80</v>
      </c>
      <c r="D874">
        <v>20.2947981526093</v>
      </c>
    </row>
    <row r="875" spans="1:4" x14ac:dyDescent="0.3">
      <c r="A875">
        <v>2000</v>
      </c>
      <c r="B875" t="s">
        <v>121</v>
      </c>
      <c r="C875">
        <v>85</v>
      </c>
      <c r="D875">
        <v>25.3684976907616</v>
      </c>
    </row>
    <row r="876" spans="1:4" x14ac:dyDescent="0.3">
      <c r="A876">
        <v>2001</v>
      </c>
      <c r="B876" t="s">
        <v>121</v>
      </c>
      <c r="C876">
        <v>0</v>
      </c>
      <c r="D876">
        <v>38.621167460345802</v>
      </c>
    </row>
    <row r="877" spans="1:4" x14ac:dyDescent="0.3">
      <c r="A877">
        <v>2001</v>
      </c>
      <c r="B877" t="s">
        <v>121</v>
      </c>
      <c r="C877">
        <v>1</v>
      </c>
      <c r="D877">
        <v>54.974274403014697</v>
      </c>
    </row>
    <row r="878" spans="1:4" x14ac:dyDescent="0.3">
      <c r="A878">
        <v>2001</v>
      </c>
      <c r="B878" t="s">
        <v>121</v>
      </c>
      <c r="C878">
        <v>5</v>
      </c>
      <c r="D878">
        <v>39.7036426243995</v>
      </c>
    </row>
    <row r="879" spans="1:4" x14ac:dyDescent="0.3">
      <c r="A879">
        <v>2001</v>
      </c>
      <c r="B879" t="s">
        <v>121</v>
      </c>
      <c r="C879">
        <v>10</v>
      </c>
      <c r="D879">
        <v>52.938190165865997</v>
      </c>
    </row>
    <row r="880" spans="1:4" x14ac:dyDescent="0.3">
      <c r="A880">
        <v>2001</v>
      </c>
      <c r="B880" t="s">
        <v>121</v>
      </c>
      <c r="C880">
        <v>15</v>
      </c>
      <c r="D880">
        <v>151.68827566757801</v>
      </c>
    </row>
    <row r="881" spans="1:4" x14ac:dyDescent="0.3">
      <c r="A881">
        <v>2001</v>
      </c>
      <c r="B881" t="s">
        <v>121</v>
      </c>
      <c r="C881">
        <v>20</v>
      </c>
      <c r="D881">
        <v>181.56681376722599</v>
      </c>
    </row>
    <row r="882" spans="1:4" x14ac:dyDescent="0.3">
      <c r="A882">
        <v>2001</v>
      </c>
      <c r="B882" t="s">
        <v>121</v>
      </c>
      <c r="C882">
        <v>25</v>
      </c>
      <c r="D882">
        <v>129.37966282196001</v>
      </c>
    </row>
    <row r="883" spans="1:4" x14ac:dyDescent="0.3">
      <c r="A883">
        <v>2001</v>
      </c>
      <c r="B883" t="s">
        <v>121</v>
      </c>
      <c r="C883">
        <v>30</v>
      </c>
      <c r="D883">
        <v>122.165054228922</v>
      </c>
    </row>
    <row r="884" spans="1:4" x14ac:dyDescent="0.3">
      <c r="A884">
        <v>2001</v>
      </c>
      <c r="B884" t="s">
        <v>121</v>
      </c>
      <c r="C884">
        <v>35</v>
      </c>
      <c r="D884">
        <v>113.10250084652399</v>
      </c>
    </row>
    <row r="885" spans="1:4" x14ac:dyDescent="0.3">
      <c r="A885">
        <v>2001</v>
      </c>
      <c r="B885" t="s">
        <v>121</v>
      </c>
      <c r="C885">
        <v>40</v>
      </c>
      <c r="D885">
        <v>88.674356590573296</v>
      </c>
    </row>
    <row r="886" spans="1:4" x14ac:dyDescent="0.3">
      <c r="A886">
        <v>2001</v>
      </c>
      <c r="B886" t="s">
        <v>121</v>
      </c>
      <c r="C886">
        <v>45</v>
      </c>
      <c r="D886">
        <v>57.010358640163403</v>
      </c>
    </row>
    <row r="887" spans="1:4" x14ac:dyDescent="0.3">
      <c r="A887">
        <v>2001</v>
      </c>
      <c r="B887" t="s">
        <v>121</v>
      </c>
      <c r="C887">
        <v>50</v>
      </c>
      <c r="D887">
        <v>62.100569233035102</v>
      </c>
    </row>
    <row r="888" spans="1:4" x14ac:dyDescent="0.3">
      <c r="A888">
        <v>2001</v>
      </c>
      <c r="B888" t="s">
        <v>121</v>
      </c>
      <c r="C888">
        <v>55</v>
      </c>
      <c r="D888">
        <v>35.732413170357397</v>
      </c>
    </row>
    <row r="889" spans="1:4" x14ac:dyDescent="0.3">
      <c r="A889">
        <v>2001</v>
      </c>
      <c r="B889" t="s">
        <v>121</v>
      </c>
      <c r="C889">
        <v>60</v>
      </c>
      <c r="D889">
        <v>33.595389912953401</v>
      </c>
    </row>
    <row r="890" spans="1:4" x14ac:dyDescent="0.3">
      <c r="A890">
        <v>2001</v>
      </c>
      <c r="B890" t="s">
        <v>121</v>
      </c>
      <c r="C890">
        <v>65</v>
      </c>
      <c r="D890">
        <v>38.685600505825199</v>
      </c>
    </row>
    <row r="891" spans="1:4" x14ac:dyDescent="0.3">
      <c r="A891">
        <v>2001</v>
      </c>
      <c r="B891" t="s">
        <v>121</v>
      </c>
      <c r="C891">
        <v>70</v>
      </c>
      <c r="D891">
        <v>30.541263557230401</v>
      </c>
    </row>
    <row r="892" spans="1:4" x14ac:dyDescent="0.3">
      <c r="A892">
        <v>2001</v>
      </c>
      <c r="B892" t="s">
        <v>121</v>
      </c>
      <c r="C892">
        <v>75</v>
      </c>
      <c r="D892">
        <v>30.541263557230401</v>
      </c>
    </row>
    <row r="893" spans="1:4" x14ac:dyDescent="0.3">
      <c r="A893">
        <v>2001</v>
      </c>
      <c r="B893" t="s">
        <v>121</v>
      </c>
      <c r="C893">
        <v>80</v>
      </c>
      <c r="D893">
        <v>17.3067160157639</v>
      </c>
    </row>
    <row r="894" spans="1:4" x14ac:dyDescent="0.3">
      <c r="A894">
        <v>2001</v>
      </c>
      <c r="B894" t="s">
        <v>121</v>
      </c>
      <c r="C894">
        <v>85</v>
      </c>
      <c r="D894">
        <v>26.469095082932999</v>
      </c>
    </row>
    <row r="895" spans="1:4" x14ac:dyDescent="0.3">
      <c r="A895">
        <v>2002</v>
      </c>
      <c r="B895" t="s">
        <v>121</v>
      </c>
      <c r="C895">
        <v>0</v>
      </c>
      <c r="D895">
        <v>38.1798987197296</v>
      </c>
    </row>
    <row r="896" spans="1:4" x14ac:dyDescent="0.3">
      <c r="A896">
        <v>2002</v>
      </c>
      <c r="B896" t="s">
        <v>121</v>
      </c>
      <c r="C896">
        <v>1</v>
      </c>
      <c r="D896">
        <v>48.022345510283202</v>
      </c>
    </row>
    <row r="897" spans="1:4" x14ac:dyDescent="0.3">
      <c r="A897">
        <v>2002</v>
      </c>
      <c r="B897" t="s">
        <v>121</v>
      </c>
      <c r="C897">
        <v>5</v>
      </c>
      <c r="D897">
        <v>30.652560964010501</v>
      </c>
    </row>
    <row r="898" spans="1:4" x14ac:dyDescent="0.3">
      <c r="A898">
        <v>2002</v>
      </c>
      <c r="B898" t="s">
        <v>121</v>
      </c>
      <c r="C898">
        <v>10</v>
      </c>
      <c r="D898">
        <v>52.1093536388179</v>
      </c>
    </row>
    <row r="899" spans="1:4" x14ac:dyDescent="0.3">
      <c r="A899">
        <v>2002</v>
      </c>
      <c r="B899" t="s">
        <v>121</v>
      </c>
      <c r="C899">
        <v>15</v>
      </c>
      <c r="D899">
        <v>132.82776417737901</v>
      </c>
    </row>
    <row r="900" spans="1:4" x14ac:dyDescent="0.3">
      <c r="A900">
        <v>2002</v>
      </c>
      <c r="B900" t="s">
        <v>121</v>
      </c>
      <c r="C900">
        <v>20</v>
      </c>
      <c r="D900">
        <v>158.37156498072099</v>
      </c>
    </row>
    <row r="901" spans="1:4" x14ac:dyDescent="0.3">
      <c r="A901">
        <v>2002</v>
      </c>
      <c r="B901" t="s">
        <v>121</v>
      </c>
      <c r="C901">
        <v>25</v>
      </c>
      <c r="D901">
        <v>145.08878856298301</v>
      </c>
    </row>
    <row r="902" spans="1:4" x14ac:dyDescent="0.3">
      <c r="A902">
        <v>2002</v>
      </c>
      <c r="B902" t="s">
        <v>121</v>
      </c>
      <c r="C902">
        <v>30</v>
      </c>
      <c r="D902">
        <v>128.74075604884399</v>
      </c>
    </row>
    <row r="903" spans="1:4" x14ac:dyDescent="0.3">
      <c r="A903">
        <v>2002</v>
      </c>
      <c r="B903" t="s">
        <v>121</v>
      </c>
      <c r="C903">
        <v>35</v>
      </c>
      <c r="D903">
        <v>103.29304179601</v>
      </c>
    </row>
    <row r="904" spans="1:4" x14ac:dyDescent="0.3">
      <c r="A904">
        <v>2002</v>
      </c>
      <c r="B904" t="s">
        <v>121</v>
      </c>
      <c r="C904">
        <v>40</v>
      </c>
      <c r="D904">
        <v>79.696658506427397</v>
      </c>
    </row>
    <row r="905" spans="1:4" x14ac:dyDescent="0.3">
      <c r="A905">
        <v>2002</v>
      </c>
      <c r="B905" t="s">
        <v>121</v>
      </c>
      <c r="C905">
        <v>45</v>
      </c>
      <c r="D905">
        <v>68.4573861529569</v>
      </c>
    </row>
    <row r="906" spans="1:4" x14ac:dyDescent="0.3">
      <c r="A906">
        <v>2002</v>
      </c>
      <c r="B906" t="s">
        <v>121</v>
      </c>
      <c r="C906">
        <v>50</v>
      </c>
      <c r="D906">
        <v>55.174609735219001</v>
      </c>
    </row>
    <row r="907" spans="1:4" x14ac:dyDescent="0.3">
      <c r="A907">
        <v>2002</v>
      </c>
      <c r="B907" t="s">
        <v>121</v>
      </c>
      <c r="C907">
        <v>55</v>
      </c>
      <c r="D907">
        <v>41.993512524562298</v>
      </c>
    </row>
    <row r="908" spans="1:4" x14ac:dyDescent="0.3">
      <c r="A908">
        <v>2002</v>
      </c>
      <c r="B908" t="s">
        <v>121</v>
      </c>
      <c r="C908">
        <v>60</v>
      </c>
      <c r="D908">
        <v>45.978841446015799</v>
      </c>
    </row>
    <row r="909" spans="1:4" x14ac:dyDescent="0.3">
      <c r="A909">
        <v>2002</v>
      </c>
      <c r="B909" t="s">
        <v>121</v>
      </c>
      <c r="C909">
        <v>65</v>
      </c>
      <c r="D909">
        <v>29.6308089318768</v>
      </c>
    </row>
    <row r="910" spans="1:4" x14ac:dyDescent="0.3">
      <c r="A910">
        <v>2002</v>
      </c>
      <c r="B910" t="s">
        <v>121</v>
      </c>
      <c r="C910">
        <v>70</v>
      </c>
      <c r="D910">
        <v>34.739569092545302</v>
      </c>
    </row>
    <row r="911" spans="1:4" x14ac:dyDescent="0.3">
      <c r="A911">
        <v>2002</v>
      </c>
      <c r="B911" t="s">
        <v>121</v>
      </c>
      <c r="C911">
        <v>75</v>
      </c>
      <c r="D911">
        <v>23.500296739074699</v>
      </c>
    </row>
    <row r="912" spans="1:4" x14ac:dyDescent="0.3">
      <c r="A912">
        <v>2002</v>
      </c>
      <c r="B912" t="s">
        <v>121</v>
      </c>
      <c r="C912">
        <v>80</v>
      </c>
      <c r="D912">
        <v>20.435040642673702</v>
      </c>
    </row>
    <row r="913" spans="1:4" x14ac:dyDescent="0.3">
      <c r="A913">
        <v>2002</v>
      </c>
      <c r="B913" t="s">
        <v>121</v>
      </c>
      <c r="C913">
        <v>85</v>
      </c>
      <c r="D913">
        <v>29.6308089318768</v>
      </c>
    </row>
    <row r="914" spans="1:4" x14ac:dyDescent="0.3">
      <c r="A914">
        <v>2003</v>
      </c>
      <c r="B914" t="s">
        <v>121</v>
      </c>
      <c r="C914">
        <v>0</v>
      </c>
      <c r="D914">
        <v>31.856759154201399</v>
      </c>
    </row>
    <row r="915" spans="1:4" x14ac:dyDescent="0.3">
      <c r="A915">
        <v>2003</v>
      </c>
      <c r="B915" t="s">
        <v>121</v>
      </c>
      <c r="C915">
        <v>1</v>
      </c>
      <c r="D915">
        <v>47.646268813454697</v>
      </c>
    </row>
    <row r="916" spans="1:4" x14ac:dyDescent="0.3">
      <c r="A916">
        <v>2003</v>
      </c>
      <c r="B916" t="s">
        <v>121</v>
      </c>
      <c r="C916">
        <v>5</v>
      </c>
      <c r="D916">
        <v>32.440012809160699</v>
      </c>
    </row>
    <row r="917" spans="1:4" x14ac:dyDescent="0.3">
      <c r="A917">
        <v>2003</v>
      </c>
      <c r="B917" t="s">
        <v>121</v>
      </c>
      <c r="C917">
        <v>10</v>
      </c>
      <c r="D917">
        <v>56.1091598133129</v>
      </c>
    </row>
    <row r="918" spans="1:4" x14ac:dyDescent="0.3">
      <c r="A918">
        <v>2003</v>
      </c>
      <c r="B918" t="s">
        <v>121</v>
      </c>
      <c r="C918">
        <v>15</v>
      </c>
      <c r="D918">
        <v>148.182508274469</v>
      </c>
    </row>
    <row r="919" spans="1:4" x14ac:dyDescent="0.3">
      <c r="A919">
        <v>2003</v>
      </c>
      <c r="B919" t="s">
        <v>121</v>
      </c>
      <c r="C919">
        <v>20</v>
      </c>
      <c r="D919">
        <v>144.177482710714</v>
      </c>
    </row>
    <row r="920" spans="1:4" x14ac:dyDescent="0.3">
      <c r="A920">
        <v>2003</v>
      </c>
      <c r="B920" t="s">
        <v>121</v>
      </c>
      <c r="C920">
        <v>25</v>
      </c>
      <c r="D920">
        <v>140.18820112989201</v>
      </c>
    </row>
    <row r="921" spans="1:4" x14ac:dyDescent="0.3">
      <c r="A921">
        <v>2003</v>
      </c>
      <c r="B921" t="s">
        <v>121</v>
      </c>
      <c r="C921">
        <v>30</v>
      </c>
      <c r="D921">
        <v>147.10610277645301</v>
      </c>
    </row>
    <row r="922" spans="1:4" x14ac:dyDescent="0.3">
      <c r="A922">
        <v>2003</v>
      </c>
      <c r="B922" t="s">
        <v>121</v>
      </c>
      <c r="C922">
        <v>35</v>
      </c>
      <c r="D922">
        <v>112.52629443177599</v>
      </c>
    </row>
    <row r="923" spans="1:4" x14ac:dyDescent="0.3">
      <c r="A923">
        <v>2003</v>
      </c>
      <c r="B923" t="s">
        <v>121</v>
      </c>
      <c r="C923">
        <v>40</v>
      </c>
      <c r="D923">
        <v>106.44379203005801</v>
      </c>
    </row>
    <row r="924" spans="1:4" x14ac:dyDescent="0.3">
      <c r="A924">
        <v>2003</v>
      </c>
      <c r="B924" t="s">
        <v>121</v>
      </c>
      <c r="C924">
        <v>45</v>
      </c>
      <c r="D924">
        <v>71.976278420325201</v>
      </c>
    </row>
    <row r="925" spans="1:4" x14ac:dyDescent="0.3">
      <c r="A925">
        <v>2003</v>
      </c>
      <c r="B925" t="s">
        <v>121</v>
      </c>
      <c r="C925">
        <v>50</v>
      </c>
      <c r="D925">
        <v>43.591267212309702</v>
      </c>
    </row>
    <row r="926" spans="1:4" x14ac:dyDescent="0.3">
      <c r="A926">
        <v>2003</v>
      </c>
      <c r="B926" t="s">
        <v>121</v>
      </c>
      <c r="C926">
        <v>55</v>
      </c>
      <c r="D926">
        <v>49.6737696140273</v>
      </c>
    </row>
    <row r="927" spans="1:4" x14ac:dyDescent="0.3">
      <c r="A927">
        <v>2003</v>
      </c>
      <c r="B927" t="s">
        <v>121</v>
      </c>
      <c r="C927">
        <v>60</v>
      </c>
      <c r="D927">
        <v>33.453763209446898</v>
      </c>
    </row>
    <row r="928" spans="1:4" x14ac:dyDescent="0.3">
      <c r="A928">
        <v>2003</v>
      </c>
      <c r="B928" t="s">
        <v>121</v>
      </c>
      <c r="C928">
        <v>65</v>
      </c>
      <c r="D928">
        <v>35.481264010019501</v>
      </c>
    </row>
    <row r="929" spans="1:4" x14ac:dyDescent="0.3">
      <c r="A929">
        <v>2003</v>
      </c>
      <c r="B929" t="s">
        <v>121</v>
      </c>
      <c r="C929">
        <v>70</v>
      </c>
      <c r="D929">
        <v>31.613323494641499</v>
      </c>
    </row>
    <row r="930" spans="1:4" x14ac:dyDescent="0.3">
      <c r="A930">
        <v>2003</v>
      </c>
      <c r="B930" t="s">
        <v>121</v>
      </c>
      <c r="C930">
        <v>75</v>
      </c>
      <c r="D930">
        <v>20.2750080057254</v>
      </c>
    </row>
    <row r="931" spans="1:4" x14ac:dyDescent="0.3">
      <c r="A931">
        <v>2003</v>
      </c>
      <c r="B931" t="s">
        <v>121</v>
      </c>
      <c r="C931">
        <v>80</v>
      </c>
      <c r="D931">
        <v>27.3712608077293</v>
      </c>
    </row>
    <row r="932" spans="1:4" x14ac:dyDescent="0.3">
      <c r="A932">
        <v>2003</v>
      </c>
      <c r="B932" t="s">
        <v>121</v>
      </c>
      <c r="C932">
        <v>85</v>
      </c>
      <c r="D932">
        <v>27.3712608077293</v>
      </c>
    </row>
    <row r="933" spans="1:4" x14ac:dyDescent="0.3">
      <c r="A933">
        <v>2004</v>
      </c>
      <c r="B933" t="s">
        <v>121</v>
      </c>
      <c r="C933">
        <v>0</v>
      </c>
      <c r="D933">
        <v>33.593793005158403</v>
      </c>
    </row>
    <row r="934" spans="1:4" x14ac:dyDescent="0.3">
      <c r="A934">
        <v>2004</v>
      </c>
      <c r="B934" t="s">
        <v>121</v>
      </c>
      <c r="C934">
        <v>1</v>
      </c>
      <c r="D934">
        <v>46.234955620448197</v>
      </c>
    </row>
    <row r="935" spans="1:4" x14ac:dyDescent="0.3">
      <c r="A935">
        <v>2004</v>
      </c>
      <c r="B935" t="s">
        <v>121</v>
      </c>
      <c r="C935">
        <v>5</v>
      </c>
      <c r="D935">
        <v>29.148124195499999</v>
      </c>
    </row>
    <row r="936" spans="1:4" x14ac:dyDescent="0.3">
      <c r="A936">
        <v>2004</v>
      </c>
      <c r="B936" t="s">
        <v>121</v>
      </c>
      <c r="C936">
        <v>10</v>
      </c>
      <c r="D936">
        <v>54.275817467482703</v>
      </c>
    </row>
    <row r="937" spans="1:4" x14ac:dyDescent="0.3">
      <c r="A937">
        <v>2004</v>
      </c>
      <c r="B937" t="s">
        <v>121</v>
      </c>
      <c r="C937">
        <v>15</v>
      </c>
      <c r="D937">
        <v>133.84962034479099</v>
      </c>
    </row>
    <row r="938" spans="1:4" x14ac:dyDescent="0.3">
      <c r="A938">
        <v>2004</v>
      </c>
      <c r="B938" t="s">
        <v>121</v>
      </c>
      <c r="C938">
        <v>20</v>
      </c>
      <c r="D938">
        <v>167.85299105684501</v>
      </c>
    </row>
    <row r="939" spans="1:4" x14ac:dyDescent="0.3">
      <c r="A939">
        <v>2004</v>
      </c>
      <c r="B939" t="s">
        <v>121</v>
      </c>
      <c r="C939">
        <v>25</v>
      </c>
      <c r="D939">
        <v>130.66400501430999</v>
      </c>
    </row>
    <row r="940" spans="1:4" x14ac:dyDescent="0.3">
      <c r="A940">
        <v>2004</v>
      </c>
      <c r="B940" t="s">
        <v>121</v>
      </c>
      <c r="C940">
        <v>30</v>
      </c>
      <c r="D940">
        <v>121.618035436396</v>
      </c>
    </row>
    <row r="941" spans="1:4" x14ac:dyDescent="0.3">
      <c r="A941">
        <v>2004</v>
      </c>
      <c r="B941" t="s">
        <v>121</v>
      </c>
      <c r="C941">
        <v>35</v>
      </c>
      <c r="D941">
        <v>98.591677475965199</v>
      </c>
    </row>
    <row r="942" spans="1:4" x14ac:dyDescent="0.3">
      <c r="A942">
        <v>2004</v>
      </c>
      <c r="B942" t="s">
        <v>121</v>
      </c>
      <c r="C942">
        <v>40</v>
      </c>
      <c r="D942">
        <v>90.459695779137803</v>
      </c>
    </row>
    <row r="943" spans="1:4" x14ac:dyDescent="0.3">
      <c r="A943">
        <v>2004</v>
      </c>
      <c r="B943" t="s">
        <v>121</v>
      </c>
      <c r="C943">
        <v>45</v>
      </c>
      <c r="D943">
        <v>68.347325699793004</v>
      </c>
    </row>
    <row r="944" spans="1:4" x14ac:dyDescent="0.3">
      <c r="A944">
        <v>2004</v>
      </c>
      <c r="B944" t="s">
        <v>121</v>
      </c>
      <c r="C944">
        <v>50</v>
      </c>
      <c r="D944">
        <v>63.321787045396498</v>
      </c>
    </row>
    <row r="945" spans="1:4" x14ac:dyDescent="0.3">
      <c r="A945">
        <v>2004</v>
      </c>
      <c r="B945" t="s">
        <v>121</v>
      </c>
      <c r="C945">
        <v>55</v>
      </c>
      <c r="D945">
        <v>36.1838783116551</v>
      </c>
    </row>
    <row r="946" spans="1:4" x14ac:dyDescent="0.3">
      <c r="A946">
        <v>2004</v>
      </c>
      <c r="B946" t="s">
        <v>121</v>
      </c>
      <c r="C946">
        <v>60</v>
      </c>
      <c r="D946">
        <v>31.158339657258601</v>
      </c>
    </row>
    <row r="947" spans="1:4" x14ac:dyDescent="0.3">
      <c r="A947">
        <v>2004</v>
      </c>
      <c r="B947" t="s">
        <v>121</v>
      </c>
      <c r="C947">
        <v>65</v>
      </c>
      <c r="D947">
        <v>22.112370079344799</v>
      </c>
    </row>
    <row r="948" spans="1:4" x14ac:dyDescent="0.3">
      <c r="A948">
        <v>2004</v>
      </c>
      <c r="B948" t="s">
        <v>121</v>
      </c>
      <c r="C948">
        <v>70</v>
      </c>
      <c r="D948">
        <v>25.1276932719827</v>
      </c>
    </row>
    <row r="949" spans="1:4" x14ac:dyDescent="0.3">
      <c r="A949">
        <v>2004</v>
      </c>
      <c r="B949" t="s">
        <v>121</v>
      </c>
      <c r="C949">
        <v>75</v>
      </c>
      <c r="D949">
        <v>20.102154617586201</v>
      </c>
    </row>
    <row r="950" spans="1:4" x14ac:dyDescent="0.3">
      <c r="A950">
        <v>2004</v>
      </c>
      <c r="B950" t="s">
        <v>121</v>
      </c>
      <c r="C950">
        <v>80</v>
      </c>
      <c r="D950">
        <v>25.1276932719827</v>
      </c>
    </row>
    <row r="951" spans="1:4" x14ac:dyDescent="0.3">
      <c r="A951">
        <v>2004</v>
      </c>
      <c r="B951" t="s">
        <v>121</v>
      </c>
      <c r="C951">
        <v>85</v>
      </c>
      <c r="D951">
        <v>20.402186776057601</v>
      </c>
    </row>
    <row r="952" spans="1:4" x14ac:dyDescent="0.3">
      <c r="A952">
        <v>2005</v>
      </c>
      <c r="B952" t="s">
        <v>121</v>
      </c>
      <c r="C952">
        <v>0</v>
      </c>
      <c r="D952">
        <v>31.596739304025</v>
      </c>
    </row>
    <row r="953" spans="1:4" x14ac:dyDescent="0.3">
      <c r="A953">
        <v>2005</v>
      </c>
      <c r="B953" t="s">
        <v>121</v>
      </c>
      <c r="C953">
        <v>1</v>
      </c>
      <c r="D953">
        <v>51.065437259030297</v>
      </c>
    </row>
    <row r="954" spans="1:4" x14ac:dyDescent="0.3">
      <c r="A954">
        <v>2005</v>
      </c>
      <c r="B954" t="s">
        <v>121</v>
      </c>
      <c r="C954">
        <v>5</v>
      </c>
      <c r="D954">
        <v>33.703188590960004</v>
      </c>
    </row>
    <row r="955" spans="1:4" x14ac:dyDescent="0.3">
      <c r="A955">
        <v>2005</v>
      </c>
      <c r="B955" t="s">
        <v>121</v>
      </c>
      <c r="C955">
        <v>10</v>
      </c>
      <c r="D955">
        <v>66.385068436739402</v>
      </c>
    </row>
    <row r="956" spans="1:4" x14ac:dyDescent="0.3">
      <c r="A956">
        <v>2005</v>
      </c>
      <c r="B956" t="s">
        <v>121</v>
      </c>
      <c r="C956">
        <v>15</v>
      </c>
      <c r="D956">
        <v>140.091400547418</v>
      </c>
    </row>
    <row r="957" spans="1:4" x14ac:dyDescent="0.3">
      <c r="A957">
        <v>2005</v>
      </c>
      <c r="B957" t="s">
        <v>121</v>
      </c>
      <c r="C957">
        <v>20</v>
      </c>
      <c r="D957">
        <v>146.04715056082699</v>
      </c>
    </row>
    <row r="958" spans="1:4" x14ac:dyDescent="0.3">
      <c r="A958">
        <v>2005</v>
      </c>
      <c r="B958" t="s">
        <v>121</v>
      </c>
      <c r="C958">
        <v>25</v>
      </c>
      <c r="D958">
        <v>132.770136873479</v>
      </c>
    </row>
    <row r="959" spans="1:4" x14ac:dyDescent="0.3">
      <c r="A959">
        <v>2005</v>
      </c>
      <c r="B959" t="s">
        <v>121</v>
      </c>
      <c r="C959">
        <v>30</v>
      </c>
      <c r="D959">
        <v>134.81275436384001</v>
      </c>
    </row>
    <row r="960" spans="1:4" x14ac:dyDescent="0.3">
      <c r="A960">
        <v>2005</v>
      </c>
      <c r="B960" t="s">
        <v>121</v>
      </c>
      <c r="C960">
        <v>35</v>
      </c>
      <c r="D960">
        <v>111.32265322468599</v>
      </c>
    </row>
    <row r="961" spans="1:4" x14ac:dyDescent="0.3">
      <c r="A961">
        <v>2005</v>
      </c>
      <c r="B961" t="s">
        <v>121</v>
      </c>
      <c r="C961">
        <v>40</v>
      </c>
      <c r="D961">
        <v>88.956582057106701</v>
      </c>
    </row>
    <row r="962" spans="1:4" x14ac:dyDescent="0.3">
      <c r="A962">
        <v>2005</v>
      </c>
      <c r="B962" t="s">
        <v>121</v>
      </c>
      <c r="C962">
        <v>45</v>
      </c>
      <c r="D962">
        <v>76.598155888545506</v>
      </c>
    </row>
    <row r="963" spans="1:4" x14ac:dyDescent="0.3">
      <c r="A963">
        <v>2005</v>
      </c>
      <c r="B963" t="s">
        <v>121</v>
      </c>
      <c r="C963">
        <v>50</v>
      </c>
      <c r="D963">
        <v>63.321142201197603</v>
      </c>
    </row>
    <row r="964" spans="1:4" x14ac:dyDescent="0.3">
      <c r="A964">
        <v>2005</v>
      </c>
      <c r="B964" t="s">
        <v>121</v>
      </c>
      <c r="C964">
        <v>55</v>
      </c>
      <c r="D964">
        <v>49.022819768669102</v>
      </c>
    </row>
    <row r="965" spans="1:4" x14ac:dyDescent="0.3">
      <c r="A965">
        <v>2005</v>
      </c>
      <c r="B965" t="s">
        <v>121</v>
      </c>
      <c r="C965">
        <v>60</v>
      </c>
      <c r="D965">
        <v>33.703188590960004</v>
      </c>
    </row>
    <row r="966" spans="1:4" x14ac:dyDescent="0.3">
      <c r="A966">
        <v>2005</v>
      </c>
      <c r="B966" t="s">
        <v>121</v>
      </c>
      <c r="C966">
        <v>65</v>
      </c>
      <c r="D966">
        <v>36.767114826501803</v>
      </c>
    </row>
    <row r="967" spans="1:4" x14ac:dyDescent="0.3">
      <c r="A967">
        <v>2005</v>
      </c>
      <c r="B967" t="s">
        <v>121</v>
      </c>
      <c r="C967">
        <v>70</v>
      </c>
      <c r="D967">
        <v>30.6392623554182</v>
      </c>
    </row>
    <row r="968" spans="1:4" x14ac:dyDescent="0.3">
      <c r="A968">
        <v>2005</v>
      </c>
      <c r="B968" t="s">
        <v>121</v>
      </c>
      <c r="C968">
        <v>75</v>
      </c>
      <c r="D968">
        <v>34.724497336140601</v>
      </c>
    </row>
    <row r="969" spans="1:4" x14ac:dyDescent="0.3">
      <c r="A969">
        <v>2005</v>
      </c>
      <c r="B969" t="s">
        <v>121</v>
      </c>
      <c r="C969">
        <v>80</v>
      </c>
      <c r="D969">
        <v>12.2557049421673</v>
      </c>
    </row>
    <row r="970" spans="1:4" x14ac:dyDescent="0.3">
      <c r="A970">
        <v>2005</v>
      </c>
      <c r="B970" t="s">
        <v>121</v>
      </c>
      <c r="C970">
        <v>85</v>
      </c>
      <c r="D970">
        <v>26.554027374695799</v>
      </c>
    </row>
    <row r="971" spans="1:4" x14ac:dyDescent="0.3">
      <c r="A971">
        <v>2006</v>
      </c>
      <c r="B971" t="s">
        <v>121</v>
      </c>
      <c r="C971">
        <v>0</v>
      </c>
      <c r="D971">
        <v>29.082097318823902</v>
      </c>
    </row>
    <row r="972" spans="1:4" x14ac:dyDescent="0.3">
      <c r="A972">
        <v>2006</v>
      </c>
      <c r="B972" t="s">
        <v>121</v>
      </c>
      <c r="C972">
        <v>1</v>
      </c>
      <c r="D972">
        <v>51.1686061019224</v>
      </c>
    </row>
    <row r="973" spans="1:4" x14ac:dyDescent="0.3">
      <c r="A973">
        <v>2006</v>
      </c>
      <c r="B973" t="s">
        <v>121</v>
      </c>
      <c r="C973">
        <v>5</v>
      </c>
      <c r="D973">
        <v>24.560930928922701</v>
      </c>
    </row>
    <row r="974" spans="1:4" x14ac:dyDescent="0.3">
      <c r="A974">
        <v>2006</v>
      </c>
      <c r="B974" t="s">
        <v>121</v>
      </c>
      <c r="C974">
        <v>10</v>
      </c>
      <c r="D974">
        <v>52.191978223960803</v>
      </c>
    </row>
    <row r="975" spans="1:4" x14ac:dyDescent="0.3">
      <c r="A975">
        <v>2006</v>
      </c>
      <c r="B975" t="s">
        <v>121</v>
      </c>
      <c r="C975">
        <v>15</v>
      </c>
      <c r="D975">
        <v>158.622678915959</v>
      </c>
    </row>
    <row r="976" spans="1:4" x14ac:dyDescent="0.3">
      <c r="A976">
        <v>2006</v>
      </c>
      <c r="B976" t="s">
        <v>121</v>
      </c>
      <c r="C976">
        <v>20</v>
      </c>
      <c r="D976">
        <v>145.54361911960601</v>
      </c>
    </row>
    <row r="977" spans="1:4" x14ac:dyDescent="0.3">
      <c r="A977">
        <v>2006</v>
      </c>
      <c r="B977" t="s">
        <v>121</v>
      </c>
      <c r="C977">
        <v>25</v>
      </c>
      <c r="D977">
        <v>139.17860859722899</v>
      </c>
    </row>
    <row r="978" spans="1:4" x14ac:dyDescent="0.3">
      <c r="A978">
        <v>2006</v>
      </c>
      <c r="B978" t="s">
        <v>121</v>
      </c>
      <c r="C978">
        <v>30</v>
      </c>
      <c r="D978">
        <v>130.058327592784</v>
      </c>
    </row>
    <row r="979" spans="1:4" x14ac:dyDescent="0.3">
      <c r="A979">
        <v>2006</v>
      </c>
      <c r="B979" t="s">
        <v>121</v>
      </c>
      <c r="C979">
        <v>35</v>
      </c>
      <c r="D979">
        <v>110.52418918015201</v>
      </c>
    </row>
    <row r="980" spans="1:4" x14ac:dyDescent="0.3">
      <c r="A980">
        <v>2006</v>
      </c>
      <c r="B980" t="s">
        <v>121</v>
      </c>
      <c r="C980">
        <v>40</v>
      </c>
      <c r="D980">
        <v>106.649020078033</v>
      </c>
    </row>
    <row r="981" spans="1:4" x14ac:dyDescent="0.3">
      <c r="A981">
        <v>2006</v>
      </c>
      <c r="B981" t="s">
        <v>121</v>
      </c>
      <c r="C981">
        <v>45</v>
      </c>
      <c r="D981">
        <v>72.659420664729794</v>
      </c>
    </row>
    <row r="982" spans="1:4" x14ac:dyDescent="0.3">
      <c r="A982">
        <v>2006</v>
      </c>
      <c r="B982" t="s">
        <v>121</v>
      </c>
      <c r="C982">
        <v>50</v>
      </c>
      <c r="D982">
        <v>63.449071566383701</v>
      </c>
    </row>
    <row r="983" spans="1:4" x14ac:dyDescent="0.3">
      <c r="A983">
        <v>2006</v>
      </c>
      <c r="B983" t="s">
        <v>121</v>
      </c>
      <c r="C983">
        <v>55</v>
      </c>
      <c r="D983">
        <v>46.051745491730102</v>
      </c>
    </row>
    <row r="984" spans="1:4" x14ac:dyDescent="0.3">
      <c r="A984">
        <v>2006</v>
      </c>
      <c r="B984" t="s">
        <v>121</v>
      </c>
      <c r="C984">
        <v>60</v>
      </c>
      <c r="D984">
        <v>37.864768515422597</v>
      </c>
    </row>
    <row r="985" spans="1:4" x14ac:dyDescent="0.3">
      <c r="A985">
        <v>2006</v>
      </c>
      <c r="B985" t="s">
        <v>121</v>
      </c>
      <c r="C985">
        <v>65</v>
      </c>
      <c r="D985">
        <v>38.888140637460999</v>
      </c>
    </row>
    <row r="986" spans="1:4" x14ac:dyDescent="0.3">
      <c r="A986">
        <v>2006</v>
      </c>
      <c r="B986" t="s">
        <v>121</v>
      </c>
      <c r="C986">
        <v>70</v>
      </c>
      <c r="D986">
        <v>35.818024271345699</v>
      </c>
    </row>
    <row r="987" spans="1:4" x14ac:dyDescent="0.3">
      <c r="A987">
        <v>2006</v>
      </c>
      <c r="B987" t="s">
        <v>121</v>
      </c>
      <c r="C987">
        <v>75</v>
      </c>
      <c r="D987">
        <v>22.5141866848458</v>
      </c>
    </row>
    <row r="988" spans="1:4" x14ac:dyDescent="0.3">
      <c r="A988">
        <v>2006</v>
      </c>
      <c r="B988" t="s">
        <v>121</v>
      </c>
      <c r="C988">
        <v>80</v>
      </c>
      <c r="D988">
        <v>12.2804654644614</v>
      </c>
    </row>
    <row r="989" spans="1:4" x14ac:dyDescent="0.3">
      <c r="A989">
        <v>2006</v>
      </c>
      <c r="B989" t="s">
        <v>121</v>
      </c>
      <c r="C989">
        <v>85</v>
      </c>
      <c r="D989">
        <v>24.9168864496318</v>
      </c>
    </row>
    <row r="990" spans="1:4" x14ac:dyDescent="0.3">
      <c r="A990">
        <v>2007</v>
      </c>
      <c r="B990" t="s">
        <v>121</v>
      </c>
      <c r="C990">
        <v>0</v>
      </c>
      <c r="D990">
        <v>35.255577644173101</v>
      </c>
    </row>
    <row r="991" spans="1:4" x14ac:dyDescent="0.3">
      <c r="A991">
        <v>2007</v>
      </c>
      <c r="B991" t="s">
        <v>121</v>
      </c>
      <c r="C991">
        <v>1</v>
      </c>
      <c r="D991">
        <v>29.5936174622891</v>
      </c>
    </row>
    <row r="992" spans="1:4" x14ac:dyDescent="0.3">
      <c r="A992">
        <v>2007</v>
      </c>
      <c r="B992" t="s">
        <v>121</v>
      </c>
      <c r="C992">
        <v>5</v>
      </c>
      <c r="D992">
        <v>28.573147894624</v>
      </c>
    </row>
    <row r="993" spans="1:4" x14ac:dyDescent="0.3">
      <c r="A993">
        <v>2007</v>
      </c>
      <c r="B993" t="s">
        <v>121</v>
      </c>
      <c r="C993">
        <v>10</v>
      </c>
      <c r="D993">
        <v>39.7983131389405</v>
      </c>
    </row>
    <row r="994" spans="1:4" x14ac:dyDescent="0.3">
      <c r="A994">
        <v>2007</v>
      </c>
      <c r="B994" t="s">
        <v>121</v>
      </c>
      <c r="C994">
        <v>15</v>
      </c>
      <c r="D994">
        <v>113.272122010831</v>
      </c>
    </row>
    <row r="995" spans="1:4" x14ac:dyDescent="0.3">
      <c r="A995">
        <v>2007</v>
      </c>
      <c r="B995" t="s">
        <v>121</v>
      </c>
      <c r="C995">
        <v>20</v>
      </c>
      <c r="D995">
        <v>123.590307409621</v>
      </c>
    </row>
    <row r="996" spans="1:4" x14ac:dyDescent="0.3">
      <c r="A996">
        <v>2007</v>
      </c>
      <c r="B996" t="s">
        <v>121</v>
      </c>
      <c r="C996">
        <v>25</v>
      </c>
      <c r="D996">
        <v>129.59963509347301</v>
      </c>
    </row>
    <row r="997" spans="1:4" x14ac:dyDescent="0.3">
      <c r="A997">
        <v>2007</v>
      </c>
      <c r="B997" t="s">
        <v>121</v>
      </c>
      <c r="C997">
        <v>30</v>
      </c>
      <c r="D997">
        <v>116.33353071382599</v>
      </c>
    </row>
    <row r="998" spans="1:4" x14ac:dyDescent="0.3">
      <c r="A998">
        <v>2007</v>
      </c>
      <c r="B998" t="s">
        <v>121</v>
      </c>
      <c r="C998">
        <v>35</v>
      </c>
      <c r="D998">
        <v>108.169774172505</v>
      </c>
    </row>
    <row r="999" spans="1:4" x14ac:dyDescent="0.3">
      <c r="A999">
        <v>2007</v>
      </c>
      <c r="B999" t="s">
        <v>121</v>
      </c>
      <c r="C999">
        <v>40</v>
      </c>
      <c r="D999">
        <v>91.842261089862703</v>
      </c>
    </row>
    <row r="1000" spans="1:4" x14ac:dyDescent="0.3">
      <c r="A1000">
        <v>2007</v>
      </c>
      <c r="B1000" t="s">
        <v>121</v>
      </c>
      <c r="C1000">
        <v>45</v>
      </c>
      <c r="D1000">
        <v>58.166765356912997</v>
      </c>
    </row>
    <row r="1001" spans="1:4" x14ac:dyDescent="0.3">
      <c r="A1001">
        <v>2007</v>
      </c>
      <c r="B1001" t="s">
        <v>121</v>
      </c>
      <c r="C1001">
        <v>50</v>
      </c>
      <c r="D1001">
        <v>41.839252274270798</v>
      </c>
    </row>
    <row r="1002" spans="1:4" x14ac:dyDescent="0.3">
      <c r="A1002">
        <v>2007</v>
      </c>
      <c r="B1002" t="s">
        <v>121</v>
      </c>
      <c r="C1002">
        <v>55</v>
      </c>
      <c r="D1002">
        <v>38.777843571275397</v>
      </c>
    </row>
    <row r="1003" spans="1:4" x14ac:dyDescent="0.3">
      <c r="A1003">
        <v>2007</v>
      </c>
      <c r="B1003" t="s">
        <v>121</v>
      </c>
      <c r="C1003">
        <v>60</v>
      </c>
      <c r="D1003">
        <v>27.552678326958802</v>
      </c>
    </row>
    <row r="1004" spans="1:4" x14ac:dyDescent="0.3">
      <c r="A1004">
        <v>2007</v>
      </c>
      <c r="B1004" t="s">
        <v>121</v>
      </c>
      <c r="C1004">
        <v>65</v>
      </c>
      <c r="D1004">
        <v>18.3684522179725</v>
      </c>
    </row>
    <row r="1005" spans="1:4" x14ac:dyDescent="0.3">
      <c r="A1005">
        <v>2007</v>
      </c>
      <c r="B1005" t="s">
        <v>121</v>
      </c>
      <c r="C1005">
        <v>70</v>
      </c>
      <c r="D1005">
        <v>35.716434868279897</v>
      </c>
    </row>
    <row r="1006" spans="1:4" x14ac:dyDescent="0.3">
      <c r="A1006">
        <v>2007</v>
      </c>
      <c r="B1006" t="s">
        <v>121</v>
      </c>
      <c r="C1006">
        <v>75</v>
      </c>
      <c r="D1006">
        <v>17.347982650307401</v>
      </c>
    </row>
    <row r="1007" spans="1:4" x14ac:dyDescent="0.3">
      <c r="A1007">
        <v>2007</v>
      </c>
      <c r="B1007" t="s">
        <v>121</v>
      </c>
      <c r="C1007">
        <v>80</v>
      </c>
      <c r="D1007">
        <v>15.307043514977099</v>
      </c>
    </row>
    <row r="1008" spans="1:4" x14ac:dyDescent="0.3">
      <c r="A1008">
        <v>2007</v>
      </c>
      <c r="B1008" t="s">
        <v>121</v>
      </c>
      <c r="C1008">
        <v>85</v>
      </c>
      <c r="D1008">
        <v>21.429860920968</v>
      </c>
    </row>
    <row r="1009" spans="1:4" x14ac:dyDescent="0.3">
      <c r="A1009">
        <v>2008</v>
      </c>
      <c r="B1009" t="s">
        <v>121</v>
      </c>
      <c r="C1009">
        <v>0</v>
      </c>
      <c r="D1009">
        <v>28.610929870977301</v>
      </c>
    </row>
    <row r="1010" spans="1:4" x14ac:dyDescent="0.3">
      <c r="A1010">
        <v>2008</v>
      </c>
      <c r="B1010" t="s">
        <v>121</v>
      </c>
      <c r="C1010">
        <v>1</v>
      </c>
      <c r="D1010">
        <v>37.807300186648597</v>
      </c>
    </row>
    <row r="1011" spans="1:4" x14ac:dyDescent="0.3">
      <c r="A1011">
        <v>2008</v>
      </c>
      <c r="B1011" t="s">
        <v>121</v>
      </c>
      <c r="C1011">
        <v>5</v>
      </c>
      <c r="D1011">
        <v>22.480016327196498</v>
      </c>
    </row>
    <row r="1012" spans="1:4" x14ac:dyDescent="0.3">
      <c r="A1012">
        <v>2008</v>
      </c>
      <c r="B1012" t="s">
        <v>121</v>
      </c>
      <c r="C1012">
        <v>10</v>
      </c>
      <c r="D1012">
        <v>54.1564029700642</v>
      </c>
    </row>
    <row r="1013" spans="1:4" x14ac:dyDescent="0.3">
      <c r="A1013">
        <v>2008</v>
      </c>
      <c r="B1013" t="s">
        <v>121</v>
      </c>
      <c r="C1013">
        <v>15</v>
      </c>
      <c r="D1013">
        <v>151.22920074659399</v>
      </c>
    </row>
    <row r="1014" spans="1:4" x14ac:dyDescent="0.3">
      <c r="A1014">
        <v>2008</v>
      </c>
      <c r="B1014" t="s">
        <v>121</v>
      </c>
      <c r="C1014">
        <v>20</v>
      </c>
      <c r="D1014">
        <v>175.75285492171801</v>
      </c>
    </row>
    <row r="1015" spans="1:4" x14ac:dyDescent="0.3">
      <c r="A1015">
        <v>2008</v>
      </c>
      <c r="B1015" t="s">
        <v>121</v>
      </c>
      <c r="C1015">
        <v>25</v>
      </c>
      <c r="D1015">
        <v>181.883768465499</v>
      </c>
    </row>
    <row r="1016" spans="1:4" x14ac:dyDescent="0.3">
      <c r="A1016">
        <v>2008</v>
      </c>
      <c r="B1016" t="s">
        <v>121</v>
      </c>
      <c r="C1016">
        <v>30</v>
      </c>
      <c r="D1016">
        <v>153.27283859452101</v>
      </c>
    </row>
    <row r="1017" spans="1:4" x14ac:dyDescent="0.3">
      <c r="A1017">
        <v>2008</v>
      </c>
      <c r="B1017" t="s">
        <v>121</v>
      </c>
      <c r="C1017">
        <v>35</v>
      </c>
      <c r="D1017">
        <v>151.39465939073699</v>
      </c>
    </row>
    <row r="1018" spans="1:4" x14ac:dyDescent="0.3">
      <c r="A1018">
        <v>2008</v>
      </c>
      <c r="B1018" t="s">
        <v>121</v>
      </c>
      <c r="C1018">
        <v>40</v>
      </c>
      <c r="D1018">
        <v>121.596451951654</v>
      </c>
    </row>
    <row r="1019" spans="1:4" x14ac:dyDescent="0.3">
      <c r="A1019">
        <v>2008</v>
      </c>
      <c r="B1019" t="s">
        <v>121</v>
      </c>
      <c r="C1019">
        <v>45</v>
      </c>
      <c r="D1019">
        <v>97.072797776530194</v>
      </c>
    </row>
    <row r="1020" spans="1:4" x14ac:dyDescent="0.3">
      <c r="A1020">
        <v>2008</v>
      </c>
      <c r="B1020" t="s">
        <v>121</v>
      </c>
      <c r="C1020">
        <v>50</v>
      </c>
      <c r="D1020">
        <v>63.352773285735502</v>
      </c>
    </row>
    <row r="1021" spans="1:4" x14ac:dyDescent="0.3">
      <c r="A1021">
        <v>2008</v>
      </c>
      <c r="B1021" t="s">
        <v>121</v>
      </c>
      <c r="C1021">
        <v>55</v>
      </c>
      <c r="D1021">
        <v>54.1564029700642</v>
      </c>
    </row>
    <row r="1022" spans="1:4" x14ac:dyDescent="0.3">
      <c r="A1022">
        <v>2008</v>
      </c>
      <c r="B1022" t="s">
        <v>121</v>
      </c>
      <c r="C1022">
        <v>60</v>
      </c>
      <c r="D1022">
        <v>40.872756958539</v>
      </c>
    </row>
    <row r="1023" spans="1:4" x14ac:dyDescent="0.3">
      <c r="A1023">
        <v>2008</v>
      </c>
      <c r="B1023" t="s">
        <v>121</v>
      </c>
      <c r="C1023">
        <v>65</v>
      </c>
      <c r="D1023">
        <v>21.458197403233001</v>
      </c>
    </row>
    <row r="1024" spans="1:4" x14ac:dyDescent="0.3">
      <c r="A1024">
        <v>2008</v>
      </c>
      <c r="B1024" t="s">
        <v>121</v>
      </c>
      <c r="C1024">
        <v>70</v>
      </c>
      <c r="D1024">
        <v>32.698205566831199</v>
      </c>
    </row>
    <row r="1025" spans="1:4" x14ac:dyDescent="0.3">
      <c r="A1025">
        <v>2008</v>
      </c>
      <c r="B1025" t="s">
        <v>121</v>
      </c>
      <c r="C1025">
        <v>75</v>
      </c>
      <c r="D1025">
        <v>27.589110947013801</v>
      </c>
    </row>
    <row r="1026" spans="1:4" x14ac:dyDescent="0.3">
      <c r="A1026">
        <v>2008</v>
      </c>
      <c r="B1026" t="s">
        <v>121</v>
      </c>
      <c r="C1026">
        <v>80</v>
      </c>
      <c r="D1026">
        <v>24.523654175123401</v>
      </c>
    </row>
    <row r="1027" spans="1:4" x14ac:dyDescent="0.3">
      <c r="A1027">
        <v>2008</v>
      </c>
      <c r="B1027" t="s">
        <v>121</v>
      </c>
      <c r="C1027">
        <v>85</v>
      </c>
      <c r="D1027">
        <v>13.2836460115252</v>
      </c>
    </row>
    <row r="1028" spans="1:4" x14ac:dyDescent="0.3">
      <c r="A1028">
        <v>2009</v>
      </c>
      <c r="B1028" t="s">
        <v>121</v>
      </c>
      <c r="C1028">
        <v>0</v>
      </c>
      <c r="D1028">
        <v>52.754188211901798</v>
      </c>
    </row>
    <row r="1029" spans="1:4" x14ac:dyDescent="0.3">
      <c r="A1029">
        <v>2009</v>
      </c>
      <c r="B1029" t="s">
        <v>121</v>
      </c>
      <c r="C1029">
        <v>1</v>
      </c>
      <c r="D1029">
        <v>62.513904585890202</v>
      </c>
    </row>
    <row r="1030" spans="1:4" x14ac:dyDescent="0.3">
      <c r="A1030">
        <v>2009</v>
      </c>
      <c r="B1030" t="s">
        <v>121</v>
      </c>
      <c r="C1030">
        <v>5</v>
      </c>
      <c r="D1030">
        <v>33.818997562858598</v>
      </c>
    </row>
    <row r="1031" spans="1:4" x14ac:dyDescent="0.3">
      <c r="A1031">
        <v>2009</v>
      </c>
      <c r="B1031" t="s">
        <v>121</v>
      </c>
      <c r="C1031">
        <v>10</v>
      </c>
      <c r="D1031">
        <v>59.439450261993997</v>
      </c>
    </row>
    <row r="1032" spans="1:4" x14ac:dyDescent="0.3">
      <c r="A1032">
        <v>2009</v>
      </c>
      <c r="B1032" t="s">
        <v>121</v>
      </c>
      <c r="C1032">
        <v>15</v>
      </c>
      <c r="D1032">
        <v>207.01325780901399</v>
      </c>
    </row>
    <row r="1033" spans="1:4" x14ac:dyDescent="0.3">
      <c r="A1033">
        <v>2009</v>
      </c>
      <c r="B1033" t="s">
        <v>121</v>
      </c>
      <c r="C1033">
        <v>20</v>
      </c>
      <c r="D1033">
        <v>284.38444819073402</v>
      </c>
    </row>
    <row r="1034" spans="1:4" x14ac:dyDescent="0.3">
      <c r="A1034">
        <v>2009</v>
      </c>
      <c r="B1034" t="s">
        <v>121</v>
      </c>
      <c r="C1034">
        <v>25</v>
      </c>
      <c r="D1034">
        <v>206.26118175957299</v>
      </c>
    </row>
    <row r="1035" spans="1:4" x14ac:dyDescent="0.3">
      <c r="A1035">
        <v>2009</v>
      </c>
      <c r="B1035" t="s">
        <v>121</v>
      </c>
      <c r="C1035">
        <v>30</v>
      </c>
      <c r="D1035">
        <v>219.31107510459901</v>
      </c>
    </row>
    <row r="1036" spans="1:4" x14ac:dyDescent="0.3">
      <c r="A1036">
        <v>2009</v>
      </c>
      <c r="B1036" t="s">
        <v>121</v>
      </c>
      <c r="C1036">
        <v>35</v>
      </c>
      <c r="D1036">
        <v>204.16307636285001</v>
      </c>
    </row>
    <row r="1037" spans="1:4" x14ac:dyDescent="0.3">
      <c r="A1037">
        <v>2009</v>
      </c>
      <c r="B1037" t="s">
        <v>121</v>
      </c>
      <c r="C1037">
        <v>40</v>
      </c>
      <c r="D1037">
        <v>144.655737804534</v>
      </c>
    </row>
    <row r="1038" spans="1:4" x14ac:dyDescent="0.3">
      <c r="A1038">
        <v>2009</v>
      </c>
      <c r="B1038" t="s">
        <v>121</v>
      </c>
      <c r="C1038">
        <v>45</v>
      </c>
      <c r="D1038">
        <v>113.754809984161</v>
      </c>
    </row>
    <row r="1039" spans="1:4" x14ac:dyDescent="0.3">
      <c r="A1039">
        <v>2009</v>
      </c>
      <c r="B1039" t="s">
        <v>121</v>
      </c>
      <c r="C1039">
        <v>50</v>
      </c>
      <c r="D1039">
        <v>97.357720256714302</v>
      </c>
    </row>
    <row r="1040" spans="1:4" x14ac:dyDescent="0.3">
      <c r="A1040">
        <v>2009</v>
      </c>
      <c r="B1040" t="s">
        <v>121</v>
      </c>
      <c r="C1040">
        <v>55</v>
      </c>
      <c r="D1040">
        <v>66.613177017751894</v>
      </c>
    </row>
    <row r="1041" spans="1:4" x14ac:dyDescent="0.3">
      <c r="A1041">
        <v>2009</v>
      </c>
      <c r="B1041" t="s">
        <v>121</v>
      </c>
      <c r="C1041">
        <v>60</v>
      </c>
      <c r="D1041">
        <v>47.141632966408999</v>
      </c>
    </row>
    <row r="1042" spans="1:4" x14ac:dyDescent="0.3">
      <c r="A1042">
        <v>2009</v>
      </c>
      <c r="B1042" t="s">
        <v>121</v>
      </c>
      <c r="C1042">
        <v>65</v>
      </c>
      <c r="D1042">
        <v>45.240815221601899</v>
      </c>
    </row>
    <row r="1043" spans="1:4" x14ac:dyDescent="0.3">
      <c r="A1043">
        <v>2009</v>
      </c>
      <c r="B1043" t="s">
        <v>121</v>
      </c>
      <c r="C1043">
        <v>70</v>
      </c>
      <c r="D1043">
        <v>32.794179454893197</v>
      </c>
    </row>
    <row r="1044" spans="1:4" x14ac:dyDescent="0.3">
      <c r="A1044">
        <v>2009</v>
      </c>
      <c r="B1044" t="s">
        <v>121</v>
      </c>
      <c r="C1044">
        <v>75</v>
      </c>
      <c r="D1044">
        <v>26.6452708071008</v>
      </c>
    </row>
    <row r="1045" spans="1:4" x14ac:dyDescent="0.3">
      <c r="A1045">
        <v>2009</v>
      </c>
      <c r="B1045" t="s">
        <v>121</v>
      </c>
      <c r="C1045">
        <v>80</v>
      </c>
      <c r="D1045">
        <v>25.620452699135299</v>
      </c>
    </row>
    <row r="1046" spans="1:4" x14ac:dyDescent="0.3">
      <c r="A1046">
        <v>2009</v>
      </c>
      <c r="B1046" t="s">
        <v>121</v>
      </c>
      <c r="C1046">
        <v>85</v>
      </c>
      <c r="D1046">
        <v>25.288469368386</v>
      </c>
    </row>
    <row r="1047" spans="1:4" x14ac:dyDescent="0.3">
      <c r="A1047">
        <v>2010</v>
      </c>
      <c r="B1047" t="s">
        <v>121</v>
      </c>
      <c r="C1047">
        <v>0</v>
      </c>
      <c r="D1047">
        <v>31.177949121877401</v>
      </c>
    </row>
    <row r="1048" spans="1:4" x14ac:dyDescent="0.3">
      <c r="A1048">
        <v>2010</v>
      </c>
      <c r="B1048" t="s">
        <v>121</v>
      </c>
      <c r="C1048">
        <v>1</v>
      </c>
      <c r="D1048">
        <v>52.219225130238001</v>
      </c>
    </row>
    <row r="1049" spans="1:4" x14ac:dyDescent="0.3">
      <c r="A1049">
        <v>2010</v>
      </c>
      <c r="B1049" t="s">
        <v>121</v>
      </c>
      <c r="C1049">
        <v>5</v>
      </c>
      <c r="D1049">
        <v>32.229422207078997</v>
      </c>
    </row>
    <row r="1050" spans="1:4" x14ac:dyDescent="0.3">
      <c r="A1050">
        <v>2010</v>
      </c>
      <c r="B1050" t="s">
        <v>121</v>
      </c>
      <c r="C1050">
        <v>10</v>
      </c>
      <c r="D1050">
        <v>65.857658046606105</v>
      </c>
    </row>
    <row r="1051" spans="1:4" x14ac:dyDescent="0.3">
      <c r="A1051">
        <v>2010</v>
      </c>
      <c r="B1051" t="s">
        <v>121</v>
      </c>
      <c r="C1051">
        <v>15</v>
      </c>
      <c r="D1051">
        <v>307.30729019168899</v>
      </c>
    </row>
    <row r="1052" spans="1:4" x14ac:dyDescent="0.3">
      <c r="A1052">
        <v>2010</v>
      </c>
      <c r="B1052" t="s">
        <v>121</v>
      </c>
      <c r="C1052">
        <v>20</v>
      </c>
      <c r="D1052">
        <v>360.60271133322999</v>
      </c>
    </row>
    <row r="1053" spans="1:4" x14ac:dyDescent="0.3">
      <c r="A1053">
        <v>2010</v>
      </c>
      <c r="B1053" t="s">
        <v>121</v>
      </c>
      <c r="C1053">
        <v>25</v>
      </c>
      <c r="D1053">
        <v>325.68015984065102</v>
      </c>
    </row>
    <row r="1054" spans="1:4" x14ac:dyDescent="0.3">
      <c r="A1054">
        <v>2010</v>
      </c>
      <c r="B1054" t="s">
        <v>121</v>
      </c>
      <c r="C1054">
        <v>30</v>
      </c>
      <c r="D1054">
        <v>310.47102742816202</v>
      </c>
    </row>
    <row r="1055" spans="1:4" x14ac:dyDescent="0.3">
      <c r="A1055">
        <v>2010</v>
      </c>
      <c r="B1055" t="s">
        <v>121</v>
      </c>
      <c r="C1055">
        <v>35</v>
      </c>
      <c r="D1055">
        <v>232.699069054756</v>
      </c>
    </row>
    <row r="1056" spans="1:4" x14ac:dyDescent="0.3">
      <c r="A1056">
        <v>2010</v>
      </c>
      <c r="B1056" t="s">
        <v>121</v>
      </c>
      <c r="C1056">
        <v>40</v>
      </c>
      <c r="D1056">
        <v>197.697914215645</v>
      </c>
    </row>
    <row r="1057" spans="1:4" x14ac:dyDescent="0.3">
      <c r="A1057">
        <v>2010</v>
      </c>
      <c r="B1057" t="s">
        <v>121</v>
      </c>
      <c r="C1057">
        <v>45</v>
      </c>
      <c r="D1057">
        <v>157.778497304702</v>
      </c>
    </row>
    <row r="1058" spans="1:4" x14ac:dyDescent="0.3">
      <c r="A1058">
        <v>2010</v>
      </c>
      <c r="B1058" t="s">
        <v>121</v>
      </c>
      <c r="C1058">
        <v>50</v>
      </c>
      <c r="D1058">
        <v>105.55946746121001</v>
      </c>
    </row>
    <row r="1059" spans="1:4" x14ac:dyDescent="0.3">
      <c r="A1059">
        <v>2010</v>
      </c>
      <c r="B1059" t="s">
        <v>121</v>
      </c>
      <c r="C1059">
        <v>55</v>
      </c>
      <c r="D1059">
        <v>67.577820756778607</v>
      </c>
    </row>
    <row r="1060" spans="1:4" x14ac:dyDescent="0.3">
      <c r="A1060">
        <v>2010</v>
      </c>
      <c r="B1060" t="s">
        <v>121</v>
      </c>
      <c r="C1060">
        <v>60</v>
      </c>
      <c r="D1060">
        <v>56.314850630648898</v>
      </c>
    </row>
    <row r="1061" spans="1:4" x14ac:dyDescent="0.3">
      <c r="A1061">
        <v>2010</v>
      </c>
      <c r="B1061" t="s">
        <v>121</v>
      </c>
      <c r="C1061">
        <v>65</v>
      </c>
      <c r="D1061">
        <v>46.075786879621802</v>
      </c>
    </row>
    <row r="1062" spans="1:4" x14ac:dyDescent="0.3">
      <c r="A1062">
        <v>2010</v>
      </c>
      <c r="B1062" t="s">
        <v>121</v>
      </c>
      <c r="C1062">
        <v>70</v>
      </c>
      <c r="D1062">
        <v>41.980161379210998</v>
      </c>
    </row>
    <row r="1063" spans="1:4" x14ac:dyDescent="0.3">
      <c r="A1063">
        <v>2010</v>
      </c>
      <c r="B1063" t="s">
        <v>121</v>
      </c>
      <c r="C1063">
        <v>75</v>
      </c>
      <c r="D1063">
        <v>24.573753002465001</v>
      </c>
    </row>
    <row r="1064" spans="1:4" x14ac:dyDescent="0.3">
      <c r="A1064">
        <v>2010</v>
      </c>
      <c r="B1064" t="s">
        <v>121</v>
      </c>
      <c r="C1064">
        <v>80</v>
      </c>
      <c r="D1064">
        <v>13.3107828763352</v>
      </c>
    </row>
    <row r="1065" spans="1:4" x14ac:dyDescent="0.3">
      <c r="A1065">
        <v>2010</v>
      </c>
      <c r="B1065" t="s">
        <v>121</v>
      </c>
      <c r="C1065">
        <v>85</v>
      </c>
      <c r="D1065">
        <v>22.525940252259499</v>
      </c>
    </row>
    <row r="1066" spans="1:4" x14ac:dyDescent="0.3">
      <c r="A1066">
        <v>2011</v>
      </c>
      <c r="B1066" t="s">
        <v>121</v>
      </c>
      <c r="C1066">
        <v>0</v>
      </c>
      <c r="D1066">
        <v>32.5007142767627</v>
      </c>
    </row>
    <row r="1067" spans="1:4" x14ac:dyDescent="0.3">
      <c r="A1067">
        <v>2011</v>
      </c>
      <c r="B1067" t="s">
        <v>121</v>
      </c>
      <c r="C1067">
        <v>1</v>
      </c>
      <c r="D1067">
        <v>38.163717521956201</v>
      </c>
    </row>
    <row r="1068" spans="1:4" x14ac:dyDescent="0.3">
      <c r="A1068">
        <v>2011</v>
      </c>
      <c r="B1068" t="s">
        <v>121</v>
      </c>
      <c r="C1068">
        <v>5</v>
      </c>
      <c r="D1068">
        <v>40.930587042298001</v>
      </c>
    </row>
    <row r="1069" spans="1:4" x14ac:dyDescent="0.3">
      <c r="A1069">
        <v>2011</v>
      </c>
      <c r="B1069" t="s">
        <v>121</v>
      </c>
      <c r="C1069">
        <v>10</v>
      </c>
      <c r="D1069">
        <v>74.514658461619504</v>
      </c>
    </row>
    <row r="1070" spans="1:4" x14ac:dyDescent="0.3">
      <c r="A1070">
        <v>2011</v>
      </c>
      <c r="B1070" t="s">
        <v>121</v>
      </c>
      <c r="C1070">
        <v>15</v>
      </c>
      <c r="D1070">
        <v>317.99917625170002</v>
      </c>
    </row>
    <row r="1071" spans="1:4" x14ac:dyDescent="0.3">
      <c r="A1071">
        <v>2011</v>
      </c>
      <c r="B1071" t="s">
        <v>121</v>
      </c>
      <c r="C1071">
        <v>20</v>
      </c>
      <c r="D1071">
        <v>373.71714373049201</v>
      </c>
    </row>
    <row r="1072" spans="1:4" x14ac:dyDescent="0.3">
      <c r="A1072">
        <v>2011</v>
      </c>
      <c r="B1072" t="s">
        <v>121</v>
      </c>
      <c r="C1072">
        <v>25</v>
      </c>
      <c r="D1072">
        <v>395.08072255285998</v>
      </c>
    </row>
    <row r="1073" spans="1:4" x14ac:dyDescent="0.3">
      <c r="A1073">
        <v>2011</v>
      </c>
      <c r="B1073" t="s">
        <v>121</v>
      </c>
      <c r="C1073">
        <v>30</v>
      </c>
      <c r="D1073">
        <v>310.08792325866</v>
      </c>
    </row>
    <row r="1074" spans="1:4" x14ac:dyDescent="0.3">
      <c r="A1074">
        <v>2011</v>
      </c>
      <c r="B1074" t="s">
        <v>121</v>
      </c>
      <c r="C1074">
        <v>35</v>
      </c>
      <c r="D1074">
        <v>305.58559564344</v>
      </c>
    </row>
    <row r="1075" spans="1:4" x14ac:dyDescent="0.3">
      <c r="A1075">
        <v>2011</v>
      </c>
      <c r="B1075" t="s">
        <v>121</v>
      </c>
      <c r="C1075">
        <v>40</v>
      </c>
      <c r="D1075">
        <v>222.77730511040301</v>
      </c>
    </row>
    <row r="1076" spans="1:4" x14ac:dyDescent="0.3">
      <c r="A1076">
        <v>2011</v>
      </c>
      <c r="B1076" t="s">
        <v>121</v>
      </c>
      <c r="C1076">
        <v>45</v>
      </c>
      <c r="D1076">
        <v>177.586070699348</v>
      </c>
    </row>
    <row r="1077" spans="1:4" x14ac:dyDescent="0.3">
      <c r="A1077">
        <v>2011</v>
      </c>
      <c r="B1077" t="s">
        <v>121</v>
      </c>
      <c r="C1077">
        <v>50</v>
      </c>
      <c r="D1077">
        <v>128.14946098864701</v>
      </c>
    </row>
    <row r="1078" spans="1:4" x14ac:dyDescent="0.3">
      <c r="A1078">
        <v>2011</v>
      </c>
      <c r="B1078" t="s">
        <v>121</v>
      </c>
      <c r="C1078">
        <v>55</v>
      </c>
      <c r="D1078">
        <v>96.554205330549195</v>
      </c>
    </row>
    <row r="1079" spans="1:4" x14ac:dyDescent="0.3">
      <c r="A1079">
        <v>2011</v>
      </c>
      <c r="B1079" t="s">
        <v>121</v>
      </c>
      <c r="C1079">
        <v>60</v>
      </c>
      <c r="D1079">
        <v>57.722622751958802</v>
      </c>
    </row>
    <row r="1080" spans="1:4" x14ac:dyDescent="0.3">
      <c r="A1080">
        <v>2011</v>
      </c>
      <c r="B1080" t="s">
        <v>121</v>
      </c>
      <c r="C1080">
        <v>65</v>
      </c>
      <c r="D1080">
        <v>57.722622751958802</v>
      </c>
    </row>
    <row r="1081" spans="1:4" x14ac:dyDescent="0.3">
      <c r="A1081">
        <v>2011</v>
      </c>
      <c r="B1081" t="s">
        <v>121</v>
      </c>
      <c r="C1081">
        <v>70</v>
      </c>
      <c r="D1081">
        <v>40.051516796813701</v>
      </c>
    </row>
    <row r="1082" spans="1:4" x14ac:dyDescent="0.3">
      <c r="A1082">
        <v>2011</v>
      </c>
      <c r="B1082" t="s">
        <v>121</v>
      </c>
      <c r="C1082">
        <v>75</v>
      </c>
      <c r="D1082">
        <v>35.910356621137502</v>
      </c>
    </row>
    <row r="1083" spans="1:4" x14ac:dyDescent="0.3">
      <c r="A1083">
        <v>2011</v>
      </c>
      <c r="B1083" t="s">
        <v>121</v>
      </c>
      <c r="C1083">
        <v>80</v>
      </c>
      <c r="D1083">
        <v>27.2870580281987</v>
      </c>
    </row>
    <row r="1084" spans="1:4" x14ac:dyDescent="0.3">
      <c r="A1084">
        <v>2011</v>
      </c>
      <c r="B1084" t="s">
        <v>121</v>
      </c>
      <c r="C1084">
        <v>85</v>
      </c>
      <c r="D1084">
        <v>26.2831863281646</v>
      </c>
    </row>
    <row r="1085" spans="1:4" x14ac:dyDescent="0.3">
      <c r="A1085">
        <v>2012</v>
      </c>
      <c r="B1085" t="s">
        <v>121</v>
      </c>
      <c r="C1085">
        <v>0</v>
      </c>
      <c r="D1085">
        <v>34.1340966721245</v>
      </c>
    </row>
    <row r="1086" spans="1:4" x14ac:dyDescent="0.3">
      <c r="A1086">
        <v>2012</v>
      </c>
      <c r="B1086" t="s">
        <v>121</v>
      </c>
      <c r="C1086">
        <v>1</v>
      </c>
      <c r="D1086">
        <v>57.601288134210101</v>
      </c>
    </row>
    <row r="1087" spans="1:4" x14ac:dyDescent="0.3">
      <c r="A1087">
        <v>2012</v>
      </c>
      <c r="B1087" t="s">
        <v>121</v>
      </c>
      <c r="C1087">
        <v>5</v>
      </c>
      <c r="D1087">
        <v>27.733953546101201</v>
      </c>
    </row>
    <row r="1088" spans="1:4" x14ac:dyDescent="0.3">
      <c r="A1088">
        <v>2012</v>
      </c>
      <c r="B1088" t="s">
        <v>121</v>
      </c>
      <c r="C1088">
        <v>10</v>
      </c>
      <c r="D1088">
        <v>70.401574386256797</v>
      </c>
    </row>
    <row r="1089" spans="1:4" x14ac:dyDescent="0.3">
      <c r="A1089">
        <v>2012</v>
      </c>
      <c r="B1089" t="s">
        <v>121</v>
      </c>
      <c r="C1089">
        <v>15</v>
      </c>
      <c r="D1089">
        <v>382.03485334486101</v>
      </c>
    </row>
    <row r="1090" spans="1:4" x14ac:dyDescent="0.3">
      <c r="A1090">
        <v>2012</v>
      </c>
      <c r="B1090" t="s">
        <v>121</v>
      </c>
      <c r="C1090">
        <v>20</v>
      </c>
      <c r="D1090">
        <v>387.308070846909</v>
      </c>
    </row>
    <row r="1091" spans="1:4" x14ac:dyDescent="0.3">
      <c r="A1091">
        <v>2012</v>
      </c>
      <c r="B1091" t="s">
        <v>121</v>
      </c>
      <c r="C1091">
        <v>25</v>
      </c>
      <c r="D1091">
        <v>361.98942918464297</v>
      </c>
    </row>
    <row r="1092" spans="1:4" x14ac:dyDescent="0.3">
      <c r="A1092">
        <v>2012</v>
      </c>
      <c r="B1092" t="s">
        <v>121</v>
      </c>
      <c r="C1092">
        <v>30</v>
      </c>
      <c r="D1092">
        <v>316.00766881722302</v>
      </c>
    </row>
    <row r="1093" spans="1:4" x14ac:dyDescent="0.3">
      <c r="A1093">
        <v>2012</v>
      </c>
      <c r="B1093" t="s">
        <v>121</v>
      </c>
      <c r="C1093">
        <v>35</v>
      </c>
      <c r="D1093">
        <v>300.033515550007</v>
      </c>
    </row>
    <row r="1094" spans="1:4" x14ac:dyDescent="0.3">
      <c r="A1094">
        <v>2012</v>
      </c>
      <c r="B1094" t="s">
        <v>121</v>
      </c>
      <c r="C1094">
        <v>40</v>
      </c>
      <c r="D1094">
        <v>255.049541253575</v>
      </c>
    </row>
    <row r="1095" spans="1:4" x14ac:dyDescent="0.3">
      <c r="A1095">
        <v>2012</v>
      </c>
      <c r="B1095" t="s">
        <v>121</v>
      </c>
      <c r="C1095">
        <v>45</v>
      </c>
      <c r="D1095">
        <v>174.93724544463799</v>
      </c>
    </row>
    <row r="1096" spans="1:4" x14ac:dyDescent="0.3">
      <c r="A1096">
        <v>2012</v>
      </c>
      <c r="B1096" t="s">
        <v>121</v>
      </c>
      <c r="C1096">
        <v>50</v>
      </c>
      <c r="D1096">
        <v>131.323193418111</v>
      </c>
    </row>
    <row r="1097" spans="1:4" x14ac:dyDescent="0.3">
      <c r="A1097">
        <v>2012</v>
      </c>
      <c r="B1097" t="s">
        <v>121</v>
      </c>
      <c r="C1097">
        <v>55</v>
      </c>
      <c r="D1097">
        <v>79.042933388378501</v>
      </c>
    </row>
    <row r="1098" spans="1:4" x14ac:dyDescent="0.3">
      <c r="A1098">
        <v>2012</v>
      </c>
      <c r="B1098" t="s">
        <v>121</v>
      </c>
      <c r="C1098">
        <v>60</v>
      </c>
      <c r="D1098">
        <v>69.334883865252905</v>
      </c>
    </row>
    <row r="1099" spans="1:4" x14ac:dyDescent="0.3">
      <c r="A1099">
        <v>2012</v>
      </c>
      <c r="B1099" t="s">
        <v>121</v>
      </c>
      <c r="C1099">
        <v>65</v>
      </c>
      <c r="D1099">
        <v>52.267835529190698</v>
      </c>
    </row>
    <row r="1100" spans="1:4" x14ac:dyDescent="0.3">
      <c r="A1100">
        <v>2012</v>
      </c>
      <c r="B1100" t="s">
        <v>121</v>
      </c>
      <c r="C1100">
        <v>70</v>
      </c>
      <c r="D1100">
        <v>44.801001882163398</v>
      </c>
    </row>
    <row r="1101" spans="1:4" x14ac:dyDescent="0.3">
      <c r="A1101">
        <v>2012</v>
      </c>
      <c r="B1101" t="s">
        <v>121</v>
      </c>
      <c r="C1101">
        <v>75</v>
      </c>
      <c r="D1101">
        <v>30.934025109112799</v>
      </c>
    </row>
    <row r="1102" spans="1:4" x14ac:dyDescent="0.3">
      <c r="A1102">
        <v>2012</v>
      </c>
      <c r="B1102" t="s">
        <v>121</v>
      </c>
      <c r="C1102">
        <v>80</v>
      </c>
      <c r="D1102">
        <v>17.0670483360623</v>
      </c>
    </row>
    <row r="1103" spans="1:4" x14ac:dyDescent="0.3">
      <c r="A1103">
        <v>2012</v>
      </c>
      <c r="B1103" t="s">
        <v>121</v>
      </c>
      <c r="C1103">
        <v>85</v>
      </c>
      <c r="D1103">
        <v>16.0003578150584</v>
      </c>
    </row>
    <row r="1104" spans="1:4" x14ac:dyDescent="0.3">
      <c r="A1104">
        <v>2013</v>
      </c>
      <c r="B1104" t="s">
        <v>121</v>
      </c>
      <c r="C1104">
        <v>0</v>
      </c>
      <c r="D1104">
        <v>47.878239134839703</v>
      </c>
    </row>
    <row r="1105" spans="1:4" x14ac:dyDescent="0.3">
      <c r="A1105">
        <v>2013</v>
      </c>
      <c r="B1105" t="s">
        <v>121</v>
      </c>
      <c r="C1105">
        <v>1</v>
      </c>
      <c r="D1105">
        <v>49.4036770082121</v>
      </c>
    </row>
    <row r="1106" spans="1:4" x14ac:dyDescent="0.3">
      <c r="A1106">
        <v>2013</v>
      </c>
      <c r="B1106" t="s">
        <v>121</v>
      </c>
      <c r="C1106">
        <v>5</v>
      </c>
      <c r="D1106">
        <v>35.7388301761534</v>
      </c>
    </row>
    <row r="1107" spans="1:4" x14ac:dyDescent="0.3">
      <c r="A1107">
        <v>2013</v>
      </c>
      <c r="B1107" t="s">
        <v>121</v>
      </c>
      <c r="C1107">
        <v>10</v>
      </c>
      <c r="D1107">
        <v>56.761671456243697</v>
      </c>
    </row>
    <row r="1108" spans="1:4" x14ac:dyDescent="0.3">
      <c r="A1108">
        <v>2013</v>
      </c>
      <c r="B1108" t="s">
        <v>121</v>
      </c>
      <c r="C1108">
        <v>15</v>
      </c>
      <c r="D1108">
        <v>288.01292553723601</v>
      </c>
    </row>
    <row r="1109" spans="1:4" x14ac:dyDescent="0.3">
      <c r="A1109">
        <v>2013</v>
      </c>
      <c r="B1109" t="s">
        <v>121</v>
      </c>
      <c r="C1109">
        <v>20</v>
      </c>
      <c r="D1109">
        <v>380.51342716963399</v>
      </c>
    </row>
    <row r="1110" spans="1:4" x14ac:dyDescent="0.3">
      <c r="A1110">
        <v>2013</v>
      </c>
      <c r="B1110" t="s">
        <v>121</v>
      </c>
      <c r="C1110">
        <v>25</v>
      </c>
      <c r="D1110">
        <v>330.26097389024198</v>
      </c>
    </row>
    <row r="1111" spans="1:4" x14ac:dyDescent="0.3">
      <c r="A1111">
        <v>2013</v>
      </c>
      <c r="B1111" t="s">
        <v>121</v>
      </c>
      <c r="C1111">
        <v>30</v>
      </c>
      <c r="D1111">
        <v>329.33193099005302</v>
      </c>
    </row>
    <row r="1112" spans="1:4" x14ac:dyDescent="0.3">
      <c r="A1112">
        <v>2013</v>
      </c>
      <c r="B1112" t="s">
        <v>121</v>
      </c>
      <c r="C1112">
        <v>35</v>
      </c>
      <c r="D1112">
        <v>279.81090294299702</v>
      </c>
    </row>
    <row r="1113" spans="1:4" x14ac:dyDescent="0.3">
      <c r="A1113">
        <v>2013</v>
      </c>
      <c r="B1113" t="s">
        <v>121</v>
      </c>
      <c r="C1113">
        <v>40</v>
      </c>
      <c r="D1113">
        <v>207.173499923165</v>
      </c>
    </row>
    <row r="1114" spans="1:4" x14ac:dyDescent="0.3">
      <c r="A1114">
        <v>2013</v>
      </c>
      <c r="B1114" t="s">
        <v>121</v>
      </c>
      <c r="C1114">
        <v>45</v>
      </c>
      <c r="D1114">
        <v>148.21103102463599</v>
      </c>
    </row>
    <row r="1115" spans="1:4" x14ac:dyDescent="0.3">
      <c r="A1115">
        <v>2013</v>
      </c>
      <c r="B1115" t="s">
        <v>121</v>
      </c>
      <c r="C1115">
        <v>50</v>
      </c>
      <c r="D1115">
        <v>124.152443593854</v>
      </c>
    </row>
    <row r="1116" spans="1:4" x14ac:dyDescent="0.3">
      <c r="A1116">
        <v>2013</v>
      </c>
      <c r="B1116" t="s">
        <v>121</v>
      </c>
      <c r="C1116">
        <v>55</v>
      </c>
      <c r="D1116">
        <v>84.091365120361004</v>
      </c>
    </row>
    <row r="1117" spans="1:4" x14ac:dyDescent="0.3">
      <c r="A1117">
        <v>2013</v>
      </c>
      <c r="B1117" t="s">
        <v>121</v>
      </c>
      <c r="C1117">
        <v>60</v>
      </c>
      <c r="D1117">
        <v>70.557911046302905</v>
      </c>
    </row>
    <row r="1118" spans="1:4" x14ac:dyDescent="0.3">
      <c r="A1118">
        <v>2013</v>
      </c>
      <c r="B1118" t="s">
        <v>121</v>
      </c>
      <c r="C1118">
        <v>65</v>
      </c>
      <c r="D1118">
        <v>65.170807968279803</v>
      </c>
    </row>
    <row r="1119" spans="1:4" x14ac:dyDescent="0.3">
      <c r="A1119">
        <v>2013</v>
      </c>
      <c r="B1119" t="s">
        <v>121</v>
      </c>
      <c r="C1119">
        <v>70</v>
      </c>
      <c r="D1119">
        <v>58.8639555842527</v>
      </c>
    </row>
    <row r="1120" spans="1:4" x14ac:dyDescent="0.3">
      <c r="A1120">
        <v>2013</v>
      </c>
      <c r="B1120" t="s">
        <v>121</v>
      </c>
      <c r="C1120">
        <v>75</v>
      </c>
      <c r="D1120">
        <v>39.943398432171499</v>
      </c>
    </row>
    <row r="1121" spans="1:4" x14ac:dyDescent="0.3">
      <c r="A1121">
        <v>2013</v>
      </c>
      <c r="B1121" t="s">
        <v>121</v>
      </c>
      <c r="C1121">
        <v>80</v>
      </c>
      <c r="D1121">
        <v>26.278551600112799</v>
      </c>
    </row>
    <row r="1122" spans="1:4" x14ac:dyDescent="0.3">
      <c r="A1122">
        <v>2013</v>
      </c>
      <c r="B1122" t="s">
        <v>121</v>
      </c>
      <c r="C1122">
        <v>85</v>
      </c>
      <c r="D1122">
        <v>17.245299487574002</v>
      </c>
    </row>
    <row r="1123" spans="1:4" x14ac:dyDescent="0.3">
      <c r="A1123">
        <v>2014</v>
      </c>
      <c r="B1123" t="s">
        <v>121</v>
      </c>
      <c r="C1123">
        <v>0</v>
      </c>
      <c r="D1123">
        <v>37.182517329409002</v>
      </c>
    </row>
    <row r="1124" spans="1:4" x14ac:dyDescent="0.3">
      <c r="A1124">
        <v>2014</v>
      </c>
      <c r="B1124" t="s">
        <v>121</v>
      </c>
      <c r="C1124">
        <v>1</v>
      </c>
      <c r="D1124">
        <v>45.681378433273899</v>
      </c>
    </row>
    <row r="1125" spans="1:4" x14ac:dyDescent="0.3">
      <c r="A1125">
        <v>2014</v>
      </c>
      <c r="B1125" t="s">
        <v>121</v>
      </c>
      <c r="C1125">
        <v>5</v>
      </c>
      <c r="D1125">
        <v>33.995444415459602</v>
      </c>
    </row>
    <row r="1126" spans="1:4" x14ac:dyDescent="0.3">
      <c r="A1126">
        <v>2014</v>
      </c>
      <c r="B1126" t="s">
        <v>121</v>
      </c>
      <c r="C1126">
        <v>10</v>
      </c>
      <c r="D1126">
        <v>52.0555242611726</v>
      </c>
    </row>
    <row r="1127" spans="1:4" x14ac:dyDescent="0.3">
      <c r="A1127">
        <v>2014</v>
      </c>
      <c r="B1127" t="s">
        <v>121</v>
      </c>
      <c r="C1127">
        <v>15</v>
      </c>
      <c r="D1127">
        <v>276.21298587561</v>
      </c>
    </row>
    <row r="1128" spans="1:4" x14ac:dyDescent="0.3">
      <c r="A1128">
        <v>2014</v>
      </c>
      <c r="B1128" t="s">
        <v>121</v>
      </c>
      <c r="C1128">
        <v>20</v>
      </c>
      <c r="D1128">
        <v>314.45786084300198</v>
      </c>
    </row>
    <row r="1129" spans="1:4" x14ac:dyDescent="0.3">
      <c r="A1129">
        <v>2014</v>
      </c>
      <c r="B1129" t="s">
        <v>121</v>
      </c>
      <c r="C1129">
        <v>25</v>
      </c>
      <c r="D1129">
        <v>311.27078792905201</v>
      </c>
    </row>
    <row r="1130" spans="1:4" x14ac:dyDescent="0.3">
      <c r="A1130">
        <v>2014</v>
      </c>
      <c r="B1130" t="s">
        <v>121</v>
      </c>
      <c r="C1130">
        <v>30</v>
      </c>
      <c r="D1130">
        <v>297.57196575505998</v>
      </c>
    </row>
    <row r="1131" spans="1:4" x14ac:dyDescent="0.3">
      <c r="A1131">
        <v>2014</v>
      </c>
      <c r="B1131" t="s">
        <v>121</v>
      </c>
      <c r="C1131">
        <v>35</v>
      </c>
      <c r="D1131">
        <v>230.73241894707601</v>
      </c>
    </row>
    <row r="1132" spans="1:4" x14ac:dyDescent="0.3">
      <c r="A1132">
        <v>2014</v>
      </c>
      <c r="B1132" t="s">
        <v>121</v>
      </c>
      <c r="C1132">
        <v>40</v>
      </c>
      <c r="D1132">
        <v>177.41372554317999</v>
      </c>
    </row>
    <row r="1133" spans="1:4" x14ac:dyDescent="0.3">
      <c r="A1133">
        <v>2014</v>
      </c>
      <c r="B1133" t="s">
        <v>121</v>
      </c>
      <c r="C1133">
        <v>45</v>
      </c>
      <c r="D1133">
        <v>159.35364569746699</v>
      </c>
    </row>
    <row r="1134" spans="1:4" x14ac:dyDescent="0.3">
      <c r="A1134">
        <v>2014</v>
      </c>
      <c r="B1134" t="s">
        <v>121</v>
      </c>
      <c r="C1134">
        <v>50</v>
      </c>
      <c r="D1134">
        <v>106.34878056831</v>
      </c>
    </row>
    <row r="1135" spans="1:4" x14ac:dyDescent="0.3">
      <c r="A1135">
        <v>2014</v>
      </c>
      <c r="B1135" t="s">
        <v>121</v>
      </c>
      <c r="C1135">
        <v>55</v>
      </c>
      <c r="D1135">
        <v>80.739180486716606</v>
      </c>
    </row>
    <row r="1136" spans="1:4" x14ac:dyDescent="0.3">
      <c r="A1136">
        <v>2014</v>
      </c>
      <c r="B1136" t="s">
        <v>121</v>
      </c>
      <c r="C1136">
        <v>60</v>
      </c>
      <c r="D1136">
        <v>57.367312451088097</v>
      </c>
    </row>
    <row r="1137" spans="1:4" x14ac:dyDescent="0.3">
      <c r="A1137">
        <v>2014</v>
      </c>
      <c r="B1137" t="s">
        <v>121</v>
      </c>
      <c r="C1137">
        <v>65</v>
      </c>
      <c r="D1137">
        <v>61.616743003020602</v>
      </c>
    </row>
    <row r="1138" spans="1:4" x14ac:dyDescent="0.3">
      <c r="A1138">
        <v>2014</v>
      </c>
      <c r="B1138" t="s">
        <v>121</v>
      </c>
      <c r="C1138">
        <v>70</v>
      </c>
      <c r="D1138">
        <v>39.307232605375198</v>
      </c>
    </row>
    <row r="1139" spans="1:4" x14ac:dyDescent="0.3">
      <c r="A1139">
        <v>2014</v>
      </c>
      <c r="B1139" t="s">
        <v>121</v>
      </c>
      <c r="C1139">
        <v>75</v>
      </c>
      <c r="D1139">
        <v>49.930808985206298</v>
      </c>
    </row>
    <row r="1140" spans="1:4" x14ac:dyDescent="0.3">
      <c r="A1140">
        <v>2014</v>
      </c>
      <c r="B1140" t="s">
        <v>121</v>
      </c>
      <c r="C1140">
        <v>80</v>
      </c>
      <c r="D1140">
        <v>26.558940949577799</v>
      </c>
    </row>
    <row r="1141" spans="1:4" x14ac:dyDescent="0.3">
      <c r="A1141">
        <v>2014</v>
      </c>
      <c r="B1141" t="s">
        <v>121</v>
      </c>
      <c r="C1141">
        <v>85</v>
      </c>
      <c r="D1141">
        <v>32.933086777476497</v>
      </c>
    </row>
    <row r="1142" spans="1:4" x14ac:dyDescent="0.3">
      <c r="A1142">
        <v>2015</v>
      </c>
      <c r="B1142" t="s">
        <v>121</v>
      </c>
      <c r="C1142">
        <v>0</v>
      </c>
      <c r="D1142">
        <v>30.498426107202899</v>
      </c>
    </row>
    <row r="1143" spans="1:4" x14ac:dyDescent="0.3">
      <c r="A1143">
        <v>2015</v>
      </c>
      <c r="B1143" t="s">
        <v>121</v>
      </c>
      <c r="C1143">
        <v>1</v>
      </c>
      <c r="D1143">
        <v>47.632555150984302</v>
      </c>
    </row>
    <row r="1144" spans="1:4" x14ac:dyDescent="0.3">
      <c r="A1144">
        <v>2015</v>
      </c>
      <c r="B1144" t="s">
        <v>121</v>
      </c>
      <c r="C1144">
        <v>5</v>
      </c>
      <c r="D1144">
        <v>35.2066711985536</v>
      </c>
    </row>
    <row r="1145" spans="1:4" x14ac:dyDescent="0.3">
      <c r="A1145">
        <v>2015</v>
      </c>
      <c r="B1145" t="s">
        <v>121</v>
      </c>
      <c r="C1145">
        <v>10</v>
      </c>
      <c r="D1145">
        <v>40.384122845399702</v>
      </c>
    </row>
    <row r="1146" spans="1:4" x14ac:dyDescent="0.3">
      <c r="A1146">
        <v>2015</v>
      </c>
      <c r="B1146" t="s">
        <v>121</v>
      </c>
      <c r="C1146">
        <v>15</v>
      </c>
      <c r="D1146">
        <v>253.69513069545999</v>
      </c>
    </row>
    <row r="1147" spans="1:4" x14ac:dyDescent="0.3">
      <c r="A1147">
        <v>2015</v>
      </c>
      <c r="B1147" t="s">
        <v>121</v>
      </c>
      <c r="C1147">
        <v>20</v>
      </c>
      <c r="D1147">
        <v>308.68597081067998</v>
      </c>
    </row>
    <row r="1148" spans="1:4" x14ac:dyDescent="0.3">
      <c r="A1148">
        <v>2015</v>
      </c>
      <c r="B1148" t="s">
        <v>121</v>
      </c>
      <c r="C1148">
        <v>25</v>
      </c>
      <c r="D1148">
        <v>341.711808691844</v>
      </c>
    </row>
    <row r="1149" spans="1:4" x14ac:dyDescent="0.3">
      <c r="A1149">
        <v>2015</v>
      </c>
      <c r="B1149" t="s">
        <v>121</v>
      </c>
      <c r="C1149">
        <v>30</v>
      </c>
      <c r="D1149">
        <v>261.04180982446297</v>
      </c>
    </row>
    <row r="1150" spans="1:4" x14ac:dyDescent="0.3">
      <c r="A1150">
        <v>2015</v>
      </c>
      <c r="B1150" t="s">
        <v>121</v>
      </c>
      <c r="C1150">
        <v>35</v>
      </c>
      <c r="D1150">
        <v>269.33741927651897</v>
      </c>
    </row>
    <row r="1151" spans="1:4" x14ac:dyDescent="0.3">
      <c r="A1151">
        <v>2015</v>
      </c>
      <c r="B1151" t="s">
        <v>121</v>
      </c>
      <c r="C1151">
        <v>40</v>
      </c>
      <c r="D1151">
        <v>193.823239464484</v>
      </c>
    </row>
    <row r="1152" spans="1:4" x14ac:dyDescent="0.3">
      <c r="A1152">
        <v>2015</v>
      </c>
      <c r="B1152" t="s">
        <v>121</v>
      </c>
      <c r="C1152">
        <v>45</v>
      </c>
      <c r="D1152">
        <v>140.92242013397899</v>
      </c>
    </row>
    <row r="1153" spans="1:4" x14ac:dyDescent="0.3">
      <c r="A1153">
        <v>2015</v>
      </c>
      <c r="B1153" t="s">
        <v>121</v>
      </c>
      <c r="C1153">
        <v>50</v>
      </c>
      <c r="D1153">
        <v>104.68460414979999</v>
      </c>
    </row>
    <row r="1154" spans="1:4" x14ac:dyDescent="0.3">
      <c r="A1154">
        <v>2015</v>
      </c>
      <c r="B1154" t="s">
        <v>121</v>
      </c>
      <c r="C1154">
        <v>55</v>
      </c>
      <c r="D1154">
        <v>77.766018695581295</v>
      </c>
    </row>
    <row r="1155" spans="1:4" x14ac:dyDescent="0.3">
      <c r="A1155">
        <v>2015</v>
      </c>
      <c r="B1155" t="s">
        <v>121</v>
      </c>
      <c r="C1155">
        <v>60</v>
      </c>
      <c r="D1155">
        <v>64.200400420891896</v>
      </c>
    </row>
    <row r="1156" spans="1:4" x14ac:dyDescent="0.3">
      <c r="A1156">
        <v>2015</v>
      </c>
      <c r="B1156" t="s">
        <v>121</v>
      </c>
      <c r="C1156">
        <v>65</v>
      </c>
      <c r="D1156">
        <v>45.561574492245903</v>
      </c>
    </row>
    <row r="1157" spans="1:4" x14ac:dyDescent="0.3">
      <c r="A1157">
        <v>2015</v>
      </c>
      <c r="B1157" t="s">
        <v>121</v>
      </c>
      <c r="C1157">
        <v>70</v>
      </c>
      <c r="D1157">
        <v>43.490593833507397</v>
      </c>
    </row>
    <row r="1158" spans="1:4" x14ac:dyDescent="0.3">
      <c r="A1158">
        <v>2015</v>
      </c>
      <c r="B1158" t="s">
        <v>121</v>
      </c>
      <c r="C1158">
        <v>75</v>
      </c>
      <c r="D1158">
        <v>32.100200210445898</v>
      </c>
    </row>
    <row r="1159" spans="1:4" x14ac:dyDescent="0.3">
      <c r="A1159">
        <v>2015</v>
      </c>
      <c r="B1159" t="s">
        <v>121</v>
      </c>
      <c r="C1159">
        <v>80</v>
      </c>
      <c r="D1159">
        <v>27.958238892969</v>
      </c>
    </row>
    <row r="1160" spans="1:4" x14ac:dyDescent="0.3">
      <c r="A1160">
        <v>2015</v>
      </c>
      <c r="B1160" t="s">
        <v>121</v>
      </c>
      <c r="C1160">
        <v>85</v>
      </c>
      <c r="D1160">
        <v>24.851767904861401</v>
      </c>
    </row>
    <row r="1161" spans="1:4" x14ac:dyDescent="0.3">
      <c r="A1161">
        <v>2016</v>
      </c>
      <c r="B1161" t="s">
        <v>121</v>
      </c>
      <c r="C1161">
        <v>0</v>
      </c>
      <c r="D1161">
        <v>23.053605379194298</v>
      </c>
    </row>
    <row r="1162" spans="1:4" x14ac:dyDescent="0.3">
      <c r="A1162">
        <v>2016</v>
      </c>
      <c r="B1162" t="s">
        <v>121</v>
      </c>
      <c r="C1162">
        <v>1</v>
      </c>
      <c r="D1162">
        <v>38.771972683190398</v>
      </c>
    </row>
    <row r="1163" spans="1:4" x14ac:dyDescent="0.3">
      <c r="A1163">
        <v>2016</v>
      </c>
      <c r="B1163" t="s">
        <v>121</v>
      </c>
      <c r="C1163">
        <v>5</v>
      </c>
      <c r="D1163">
        <v>30.3888434543925</v>
      </c>
    </row>
    <row r="1164" spans="1:4" x14ac:dyDescent="0.3">
      <c r="A1164">
        <v>2016</v>
      </c>
      <c r="B1164" t="s">
        <v>121</v>
      </c>
      <c r="C1164">
        <v>10</v>
      </c>
      <c r="D1164">
        <v>76.496054212781004</v>
      </c>
    </row>
    <row r="1165" spans="1:4" x14ac:dyDescent="0.3">
      <c r="A1165">
        <v>2016</v>
      </c>
      <c r="B1165" t="s">
        <v>121</v>
      </c>
      <c r="C1165">
        <v>15</v>
      </c>
      <c r="D1165">
        <v>271.40380878233299</v>
      </c>
    </row>
    <row r="1166" spans="1:4" x14ac:dyDescent="0.3">
      <c r="A1166">
        <v>2016</v>
      </c>
      <c r="B1166" t="s">
        <v>121</v>
      </c>
      <c r="C1166">
        <v>20</v>
      </c>
      <c r="D1166">
        <v>424.51822150680198</v>
      </c>
    </row>
    <row r="1167" spans="1:4" x14ac:dyDescent="0.3">
      <c r="A1167">
        <v>2016</v>
      </c>
      <c r="B1167" t="s">
        <v>121</v>
      </c>
      <c r="C1167">
        <v>25</v>
      </c>
      <c r="D1167">
        <v>401.56096740583399</v>
      </c>
    </row>
    <row r="1168" spans="1:4" x14ac:dyDescent="0.3">
      <c r="A1168">
        <v>2016</v>
      </c>
      <c r="B1168" t="s">
        <v>121</v>
      </c>
      <c r="C1168">
        <v>30</v>
      </c>
      <c r="D1168">
        <v>336.37306030551599</v>
      </c>
    </row>
    <row r="1169" spans="1:4" x14ac:dyDescent="0.3">
      <c r="A1169">
        <v>2016</v>
      </c>
      <c r="B1169" t="s">
        <v>121</v>
      </c>
      <c r="C1169">
        <v>35</v>
      </c>
      <c r="D1169">
        <v>289.31540379730001</v>
      </c>
    </row>
    <row r="1170" spans="1:4" x14ac:dyDescent="0.3">
      <c r="A1170">
        <v>2016</v>
      </c>
      <c r="B1170" t="s">
        <v>121</v>
      </c>
      <c r="C1170">
        <v>40</v>
      </c>
      <c r="D1170">
        <v>243.30446137827499</v>
      </c>
    </row>
    <row r="1171" spans="1:4" x14ac:dyDescent="0.3">
      <c r="A1171">
        <v>2016</v>
      </c>
      <c r="B1171" t="s">
        <v>121</v>
      </c>
      <c r="C1171">
        <v>45</v>
      </c>
      <c r="D1171">
        <v>186.634799366354</v>
      </c>
    </row>
    <row r="1172" spans="1:4" x14ac:dyDescent="0.3">
      <c r="A1172">
        <v>2016</v>
      </c>
      <c r="B1172" t="s">
        <v>121</v>
      </c>
      <c r="C1172">
        <v>50</v>
      </c>
      <c r="D1172">
        <v>155.087890732761</v>
      </c>
    </row>
    <row r="1173" spans="1:4" x14ac:dyDescent="0.3">
      <c r="A1173">
        <v>2016</v>
      </c>
      <c r="B1173" t="s">
        <v>121</v>
      </c>
      <c r="C1173">
        <v>55</v>
      </c>
      <c r="D1173">
        <v>107.00803695019999</v>
      </c>
    </row>
    <row r="1174" spans="1:4" x14ac:dyDescent="0.3">
      <c r="A1174">
        <v>2016</v>
      </c>
      <c r="B1174" t="s">
        <v>121</v>
      </c>
      <c r="C1174">
        <v>60</v>
      </c>
      <c r="D1174">
        <v>62.8734692159844</v>
      </c>
    </row>
    <row r="1175" spans="1:4" x14ac:dyDescent="0.3">
      <c r="A1175">
        <v>2016</v>
      </c>
      <c r="B1175" t="s">
        <v>121</v>
      </c>
      <c r="C1175">
        <v>65</v>
      </c>
      <c r="D1175">
        <v>46.107210758388497</v>
      </c>
    </row>
    <row r="1176" spans="1:4" x14ac:dyDescent="0.3">
      <c r="A1176">
        <v>2016</v>
      </c>
      <c r="B1176" t="s">
        <v>121</v>
      </c>
      <c r="C1176">
        <v>70</v>
      </c>
      <c r="D1176">
        <v>57.634013447985701</v>
      </c>
    </row>
    <row r="1177" spans="1:4" x14ac:dyDescent="0.3">
      <c r="A1177">
        <v>2016</v>
      </c>
      <c r="B1177" t="s">
        <v>121</v>
      </c>
      <c r="C1177">
        <v>75</v>
      </c>
      <c r="D1177">
        <v>39.819863836790098</v>
      </c>
    </row>
    <row r="1178" spans="1:4" x14ac:dyDescent="0.3">
      <c r="A1178">
        <v>2016</v>
      </c>
      <c r="B1178" t="s">
        <v>121</v>
      </c>
      <c r="C1178">
        <v>80</v>
      </c>
      <c r="D1178">
        <v>33.5325169151917</v>
      </c>
    </row>
    <row r="1179" spans="1:4" x14ac:dyDescent="0.3">
      <c r="A1179">
        <v>2016</v>
      </c>
      <c r="B1179" t="s">
        <v>121</v>
      </c>
      <c r="C1179">
        <v>85</v>
      </c>
      <c r="D1179">
        <v>27.245169993593201</v>
      </c>
    </row>
    <row r="1180" spans="1:4" x14ac:dyDescent="0.3">
      <c r="A1180">
        <v>2017</v>
      </c>
      <c r="B1180" t="s">
        <v>121</v>
      </c>
      <c r="C1180">
        <v>0</v>
      </c>
      <c r="D1180">
        <v>23.396164653720401</v>
      </c>
    </row>
    <row r="1181" spans="1:4" x14ac:dyDescent="0.3">
      <c r="A1181">
        <v>2017</v>
      </c>
      <c r="B1181" t="s">
        <v>121</v>
      </c>
      <c r="C1181">
        <v>1</v>
      </c>
      <c r="D1181">
        <v>45.856482721291997</v>
      </c>
    </row>
    <row r="1182" spans="1:4" x14ac:dyDescent="0.3">
      <c r="A1182">
        <v>2017</v>
      </c>
      <c r="B1182" t="s">
        <v>121</v>
      </c>
      <c r="C1182">
        <v>5</v>
      </c>
      <c r="D1182">
        <v>30.223590884487901</v>
      </c>
    </row>
    <row r="1183" spans="1:4" x14ac:dyDescent="0.3">
      <c r="A1183">
        <v>2017</v>
      </c>
      <c r="B1183" t="s">
        <v>121</v>
      </c>
      <c r="C1183">
        <v>10</v>
      </c>
      <c r="D1183">
        <v>92.7551582317043</v>
      </c>
    </row>
    <row r="1184" spans="1:4" x14ac:dyDescent="0.3">
      <c r="A1184">
        <v>2017</v>
      </c>
      <c r="B1184" t="s">
        <v>121</v>
      </c>
      <c r="C1184">
        <v>15</v>
      </c>
      <c r="D1184">
        <v>340.797042042329</v>
      </c>
    </row>
    <row r="1185" spans="1:4" x14ac:dyDescent="0.3">
      <c r="A1185">
        <v>2017</v>
      </c>
      <c r="B1185" t="s">
        <v>121</v>
      </c>
      <c r="C1185">
        <v>20</v>
      </c>
      <c r="D1185">
        <v>527.46269215546602</v>
      </c>
    </row>
    <row r="1186" spans="1:4" x14ac:dyDescent="0.3">
      <c r="A1186">
        <v>2017</v>
      </c>
      <c r="B1186" t="s">
        <v>121</v>
      </c>
      <c r="C1186">
        <v>25</v>
      </c>
      <c r="D1186">
        <v>465.95593422427203</v>
      </c>
    </row>
    <row r="1187" spans="1:4" x14ac:dyDescent="0.3">
      <c r="A1187">
        <v>2017</v>
      </c>
      <c r="B1187" t="s">
        <v>121</v>
      </c>
      <c r="C1187">
        <v>30</v>
      </c>
      <c r="D1187">
        <v>411.847143635549</v>
      </c>
    </row>
    <row r="1188" spans="1:4" x14ac:dyDescent="0.3">
      <c r="A1188">
        <v>2017</v>
      </c>
      <c r="B1188" t="s">
        <v>121</v>
      </c>
      <c r="C1188">
        <v>35</v>
      </c>
      <c r="D1188">
        <v>401.64697836469202</v>
      </c>
    </row>
    <row r="1189" spans="1:4" x14ac:dyDescent="0.3">
      <c r="A1189">
        <v>2017</v>
      </c>
      <c r="B1189" t="s">
        <v>121</v>
      </c>
      <c r="C1189">
        <v>40</v>
      </c>
      <c r="D1189">
        <v>295.11925702435201</v>
      </c>
    </row>
    <row r="1190" spans="1:4" x14ac:dyDescent="0.3">
      <c r="A1190">
        <v>2017</v>
      </c>
      <c r="B1190" t="s">
        <v>121</v>
      </c>
      <c r="C1190">
        <v>45</v>
      </c>
      <c r="D1190">
        <v>239.70434149766299</v>
      </c>
    </row>
    <row r="1191" spans="1:4" x14ac:dyDescent="0.3">
      <c r="A1191">
        <v>2017</v>
      </c>
      <c r="B1191" t="s">
        <v>121</v>
      </c>
      <c r="C1191">
        <v>50</v>
      </c>
      <c r="D1191">
        <v>166.75084625924401</v>
      </c>
    </row>
    <row r="1192" spans="1:4" x14ac:dyDescent="0.3">
      <c r="A1192">
        <v>2017</v>
      </c>
      <c r="B1192" t="s">
        <v>121</v>
      </c>
      <c r="C1192">
        <v>55</v>
      </c>
      <c r="D1192">
        <v>115.68339959235</v>
      </c>
    </row>
    <row r="1193" spans="1:4" x14ac:dyDescent="0.3">
      <c r="A1193">
        <v>2017</v>
      </c>
      <c r="B1193" t="s">
        <v>121</v>
      </c>
      <c r="C1193">
        <v>60</v>
      </c>
      <c r="D1193">
        <v>89.628579864343493</v>
      </c>
    </row>
    <row r="1194" spans="1:4" x14ac:dyDescent="0.3">
      <c r="A1194">
        <v>2017</v>
      </c>
      <c r="B1194" t="s">
        <v>121</v>
      </c>
      <c r="C1194">
        <v>65</v>
      </c>
      <c r="D1194">
        <v>63.713790445007</v>
      </c>
    </row>
    <row r="1195" spans="1:4" x14ac:dyDescent="0.3">
      <c r="A1195">
        <v>2017</v>
      </c>
      <c r="B1195" t="s">
        <v>121</v>
      </c>
      <c r="C1195">
        <v>70</v>
      </c>
      <c r="D1195">
        <v>53.151832245133903</v>
      </c>
    </row>
    <row r="1196" spans="1:4" x14ac:dyDescent="0.3">
      <c r="A1196">
        <v>2017</v>
      </c>
      <c r="B1196" t="s">
        <v>121</v>
      </c>
      <c r="C1196">
        <v>75</v>
      </c>
      <c r="D1196">
        <v>40.645518775690597</v>
      </c>
    </row>
    <row r="1197" spans="1:4" x14ac:dyDescent="0.3">
      <c r="A1197">
        <v>2017</v>
      </c>
      <c r="B1197" t="s">
        <v>121</v>
      </c>
      <c r="C1197">
        <v>80</v>
      </c>
      <c r="D1197">
        <v>34.392362040968997</v>
      </c>
    </row>
    <row r="1198" spans="1:4" x14ac:dyDescent="0.3">
      <c r="A1198">
        <v>2017</v>
      </c>
      <c r="B1198" t="s">
        <v>121</v>
      </c>
      <c r="C1198">
        <v>85</v>
      </c>
      <c r="D1198">
        <v>20.843855782405502</v>
      </c>
    </row>
    <row r="1199" spans="1:4" x14ac:dyDescent="0.3">
      <c r="A1199">
        <v>2018</v>
      </c>
      <c r="B1199" t="s">
        <v>121</v>
      </c>
      <c r="C1199">
        <v>0</v>
      </c>
      <c r="D1199">
        <v>39.947717003646503</v>
      </c>
    </row>
    <row r="1200" spans="1:4" x14ac:dyDescent="0.3">
      <c r="A1200">
        <v>2018</v>
      </c>
      <c r="B1200" t="s">
        <v>121</v>
      </c>
      <c r="C1200">
        <v>1</v>
      </c>
      <c r="D1200">
        <v>51.168064475419897</v>
      </c>
    </row>
    <row r="1201" spans="1:4" x14ac:dyDescent="0.3">
      <c r="A1201">
        <v>2018</v>
      </c>
      <c r="B1201" t="s">
        <v>121</v>
      </c>
      <c r="C1201">
        <v>5</v>
      </c>
      <c r="D1201">
        <v>49.036061788944103</v>
      </c>
    </row>
    <row r="1202" spans="1:4" x14ac:dyDescent="0.3">
      <c r="A1202">
        <v>2018</v>
      </c>
      <c r="B1202" t="s">
        <v>121</v>
      </c>
      <c r="C1202">
        <v>10</v>
      </c>
      <c r="D1202">
        <v>60.762076564561099</v>
      </c>
    </row>
    <row r="1203" spans="1:4" x14ac:dyDescent="0.3">
      <c r="A1203">
        <v>2018</v>
      </c>
      <c r="B1203" t="s">
        <v>121</v>
      </c>
      <c r="C1203">
        <v>15</v>
      </c>
      <c r="D1203">
        <v>392.44251413656701</v>
      </c>
    </row>
    <row r="1204" spans="1:4" x14ac:dyDescent="0.3">
      <c r="A1204">
        <v>2018</v>
      </c>
      <c r="B1204" t="s">
        <v>121</v>
      </c>
      <c r="C1204">
        <v>20</v>
      </c>
      <c r="D1204">
        <v>566.38046721762203</v>
      </c>
    </row>
    <row r="1205" spans="1:4" x14ac:dyDescent="0.3">
      <c r="A1205">
        <v>2018</v>
      </c>
      <c r="B1205" t="s">
        <v>121</v>
      </c>
      <c r="C1205">
        <v>25</v>
      </c>
      <c r="D1205">
        <v>574.98042548732303</v>
      </c>
    </row>
    <row r="1206" spans="1:4" x14ac:dyDescent="0.3">
      <c r="A1206">
        <v>2018</v>
      </c>
      <c r="B1206" t="s">
        <v>121</v>
      </c>
      <c r="C1206">
        <v>30</v>
      </c>
      <c r="D1206">
        <v>476.87853936259597</v>
      </c>
    </row>
    <row r="1207" spans="1:4" x14ac:dyDescent="0.3">
      <c r="A1207">
        <v>2018</v>
      </c>
      <c r="B1207" t="s">
        <v>121</v>
      </c>
      <c r="C1207">
        <v>35</v>
      </c>
      <c r="D1207">
        <v>452.77996692756602</v>
      </c>
    </row>
    <row r="1208" spans="1:4" x14ac:dyDescent="0.3">
      <c r="A1208">
        <v>2018</v>
      </c>
      <c r="B1208" t="s">
        <v>121</v>
      </c>
      <c r="C1208">
        <v>40</v>
      </c>
      <c r="D1208">
        <v>327.52450186606399</v>
      </c>
    </row>
    <row r="1209" spans="1:4" x14ac:dyDescent="0.3">
      <c r="A1209">
        <v>2018</v>
      </c>
      <c r="B1209" t="s">
        <v>121</v>
      </c>
      <c r="C1209">
        <v>45</v>
      </c>
      <c r="D1209">
        <v>237.09233594184201</v>
      </c>
    </row>
    <row r="1210" spans="1:4" x14ac:dyDescent="0.3">
      <c r="A1210">
        <v>2018</v>
      </c>
      <c r="B1210" t="s">
        <v>121</v>
      </c>
      <c r="C1210">
        <v>50</v>
      </c>
      <c r="D1210">
        <v>187.72211464712501</v>
      </c>
    </row>
    <row r="1211" spans="1:4" x14ac:dyDescent="0.3">
      <c r="A1211">
        <v>2018</v>
      </c>
      <c r="B1211" t="s">
        <v>121</v>
      </c>
      <c r="C1211">
        <v>55</v>
      </c>
      <c r="D1211">
        <v>154.85380980577199</v>
      </c>
    </row>
    <row r="1212" spans="1:4" x14ac:dyDescent="0.3">
      <c r="A1212">
        <v>2018</v>
      </c>
      <c r="B1212" t="s">
        <v>121</v>
      </c>
      <c r="C1212">
        <v>60</v>
      </c>
      <c r="D1212">
        <v>67.1580846239886</v>
      </c>
    </row>
    <row r="1213" spans="1:4" x14ac:dyDescent="0.3">
      <c r="A1213">
        <v>2018</v>
      </c>
      <c r="B1213" t="s">
        <v>121</v>
      </c>
      <c r="C1213">
        <v>65</v>
      </c>
      <c r="D1213">
        <v>73.554092683416101</v>
      </c>
    </row>
    <row r="1214" spans="1:4" x14ac:dyDescent="0.3">
      <c r="A1214">
        <v>2018</v>
      </c>
      <c r="B1214" t="s">
        <v>121</v>
      </c>
      <c r="C1214">
        <v>70</v>
      </c>
      <c r="D1214">
        <v>40.508051043040801</v>
      </c>
    </row>
    <row r="1215" spans="1:4" x14ac:dyDescent="0.3">
      <c r="A1215">
        <v>2018</v>
      </c>
      <c r="B1215" t="s">
        <v>121</v>
      </c>
      <c r="C1215">
        <v>75</v>
      </c>
      <c r="D1215">
        <v>34.1120429836133</v>
      </c>
    </row>
    <row r="1216" spans="1:4" x14ac:dyDescent="0.3">
      <c r="A1216">
        <v>2018</v>
      </c>
      <c r="B1216" t="s">
        <v>121</v>
      </c>
      <c r="C1216">
        <v>80</v>
      </c>
      <c r="D1216">
        <v>14.9240188053308</v>
      </c>
    </row>
    <row r="1217" spans="1:4" x14ac:dyDescent="0.3">
      <c r="A1217">
        <v>2018</v>
      </c>
      <c r="B1217" t="s">
        <v>121</v>
      </c>
      <c r="C1217">
        <v>85</v>
      </c>
      <c r="D1217">
        <v>25.584032237709899</v>
      </c>
    </row>
    <row r="1218" spans="1:4" x14ac:dyDescent="0.3">
      <c r="A1218" s="140">
        <v>2019</v>
      </c>
      <c r="B1218" s="140" t="s">
        <v>121</v>
      </c>
      <c r="C1218" s="140">
        <v>0</v>
      </c>
      <c r="D1218" s="140">
        <v>35.837945835888199</v>
      </c>
    </row>
    <row r="1219" spans="1:4" x14ac:dyDescent="0.3">
      <c r="A1219" s="140">
        <v>2019</v>
      </c>
      <c r="B1219" s="140" t="s">
        <v>121</v>
      </c>
      <c r="C1219" s="140">
        <v>1</v>
      </c>
      <c r="D1219" s="140">
        <v>50.5947470624305</v>
      </c>
    </row>
    <row r="1220" spans="1:4" x14ac:dyDescent="0.3">
      <c r="A1220" s="140">
        <v>2019</v>
      </c>
      <c r="B1220" s="140" t="s">
        <v>121</v>
      </c>
      <c r="C1220" s="140">
        <v>5</v>
      </c>
      <c r="D1220" s="140">
        <v>35.837945835888199</v>
      </c>
    </row>
    <row r="1221" spans="1:4" x14ac:dyDescent="0.3">
      <c r="A1221" s="140">
        <v>2019</v>
      </c>
      <c r="B1221" s="140" t="s">
        <v>121</v>
      </c>
      <c r="C1221" s="140">
        <v>10</v>
      </c>
      <c r="D1221" s="140">
        <v>59.027204906168897</v>
      </c>
    </row>
    <row r="1222" spans="1:4" x14ac:dyDescent="0.3">
      <c r="A1222" s="140">
        <v>2019</v>
      </c>
      <c r="B1222" s="140" t="s">
        <v>121</v>
      </c>
      <c r="C1222" s="140">
        <v>15</v>
      </c>
      <c r="D1222" s="140">
        <v>391.05523250336898</v>
      </c>
    </row>
    <row r="1223" spans="1:4" x14ac:dyDescent="0.3">
      <c r="A1223" s="140">
        <v>2019</v>
      </c>
      <c r="B1223" s="140" t="s">
        <v>121</v>
      </c>
      <c r="C1223" s="140">
        <v>20</v>
      </c>
      <c r="D1223" s="140">
        <v>622.94782320617503</v>
      </c>
    </row>
    <row r="1224" spans="1:4" x14ac:dyDescent="0.3">
      <c r="A1224" s="140">
        <v>2019</v>
      </c>
      <c r="B1224" s="140" t="s">
        <v>121</v>
      </c>
      <c r="C1224" s="140">
        <v>25</v>
      </c>
      <c r="D1224" s="140">
        <v>610.402001624528</v>
      </c>
    </row>
    <row r="1225" spans="1:4" x14ac:dyDescent="0.3">
      <c r="A1225" s="140">
        <v>2019</v>
      </c>
      <c r="B1225" s="140" t="s">
        <v>121</v>
      </c>
      <c r="C1225" s="140">
        <v>30</v>
      </c>
      <c r="D1225" s="140">
        <v>526.07353703178796</v>
      </c>
    </row>
    <row r="1226" spans="1:4" x14ac:dyDescent="0.3">
      <c r="A1226" s="140">
        <v>2019</v>
      </c>
      <c r="B1226" s="140" t="s">
        <v>121</v>
      </c>
      <c r="C1226" s="140">
        <v>35</v>
      </c>
      <c r="D1226" s="140">
        <v>408.974205421313</v>
      </c>
    </row>
    <row r="1227" spans="1:4" x14ac:dyDescent="0.3">
      <c r="A1227" s="140">
        <v>2019</v>
      </c>
      <c r="B1227" s="140" t="s">
        <v>121</v>
      </c>
      <c r="C1227" s="140">
        <v>40</v>
      </c>
      <c r="D1227" s="140">
        <v>357.42276499793201</v>
      </c>
    </row>
    <row r="1228" spans="1:4" x14ac:dyDescent="0.3">
      <c r="A1228" s="140">
        <v>2019</v>
      </c>
      <c r="B1228" s="140" t="s">
        <v>121</v>
      </c>
      <c r="C1228" s="140">
        <v>45</v>
      </c>
      <c r="D1228" s="140">
        <v>240.50040429156201</v>
      </c>
    </row>
    <row r="1229" spans="1:4" x14ac:dyDescent="0.3">
      <c r="A1229" s="140">
        <v>2019</v>
      </c>
      <c r="B1229" s="140" t="s">
        <v>121</v>
      </c>
      <c r="C1229" s="140">
        <v>50</v>
      </c>
      <c r="D1229" s="140">
        <v>168.64915687476801</v>
      </c>
    </row>
    <row r="1230" spans="1:4" x14ac:dyDescent="0.3">
      <c r="A1230" s="140">
        <v>2019</v>
      </c>
      <c r="B1230" s="140" t="s">
        <v>121</v>
      </c>
      <c r="C1230" s="140">
        <v>55</v>
      </c>
      <c r="D1230" s="140">
        <v>135.973382730282</v>
      </c>
    </row>
    <row r="1231" spans="1:4" x14ac:dyDescent="0.3">
      <c r="A1231" s="140">
        <v>2019</v>
      </c>
      <c r="B1231" s="140" t="s">
        <v>121</v>
      </c>
      <c r="C1231" s="140">
        <v>60</v>
      </c>
      <c r="D1231" s="140">
        <v>82.216463976449504</v>
      </c>
    </row>
    <row r="1232" spans="1:4" x14ac:dyDescent="0.3">
      <c r="A1232" s="140">
        <v>2019</v>
      </c>
      <c r="B1232" s="140" t="s">
        <v>121</v>
      </c>
      <c r="C1232" s="140">
        <v>65</v>
      </c>
      <c r="D1232" s="140">
        <v>64.2974910585054</v>
      </c>
    </row>
    <row r="1233" spans="1:4" x14ac:dyDescent="0.3">
      <c r="A1233" s="140">
        <v>2019</v>
      </c>
      <c r="B1233" s="140" t="s">
        <v>121</v>
      </c>
      <c r="C1233" s="140">
        <v>70</v>
      </c>
      <c r="D1233" s="140">
        <v>43.216346449159403</v>
      </c>
    </row>
    <row r="1234" spans="1:4" x14ac:dyDescent="0.3">
      <c r="A1234" s="140">
        <v>2019</v>
      </c>
      <c r="B1234" s="140" t="s">
        <v>121</v>
      </c>
      <c r="C1234" s="140">
        <v>75</v>
      </c>
      <c r="D1234" s="140">
        <v>34.783888605420898</v>
      </c>
    </row>
    <row r="1235" spans="1:4" x14ac:dyDescent="0.3">
      <c r="A1235" s="140">
        <v>2019</v>
      </c>
      <c r="B1235" s="140" t="s">
        <v>121</v>
      </c>
      <c r="C1235" s="140">
        <v>80</v>
      </c>
      <c r="D1235" s="140">
        <v>25.2973735312152</v>
      </c>
    </row>
    <row r="1236" spans="1:4" x14ac:dyDescent="0.3">
      <c r="A1236" s="140">
        <v>2019</v>
      </c>
      <c r="B1236" s="140" t="s">
        <v>121</v>
      </c>
      <c r="C1236" s="140">
        <v>85</v>
      </c>
      <c r="D1236" s="140">
        <v>20.344977654733899</v>
      </c>
    </row>
    <row r="1237" spans="1:4" x14ac:dyDescent="0.3">
      <c r="A1237">
        <v>2020</v>
      </c>
      <c r="B1237" t="s">
        <v>121</v>
      </c>
      <c r="C1237">
        <v>0</v>
      </c>
      <c r="D1237">
        <v>23.339955547082599</v>
      </c>
    </row>
    <row r="1238" spans="1:4" x14ac:dyDescent="0.3">
      <c r="A1238">
        <v>2020</v>
      </c>
      <c r="B1238" t="s">
        <v>121</v>
      </c>
      <c r="C1238">
        <v>1</v>
      </c>
      <c r="D1238">
        <v>44.6921676272434</v>
      </c>
    </row>
    <row r="1239" spans="1:4" x14ac:dyDescent="0.3">
      <c r="A1239">
        <v>2020</v>
      </c>
      <c r="B1239" t="s">
        <v>121</v>
      </c>
      <c r="C1239">
        <v>5</v>
      </c>
      <c r="D1239">
        <v>51.232484840986402</v>
      </c>
    </row>
    <row r="1240" spans="1:4" x14ac:dyDescent="0.3">
      <c r="A1240">
        <v>2020</v>
      </c>
      <c r="B1240" t="s">
        <v>121</v>
      </c>
      <c r="C1240">
        <v>10</v>
      </c>
      <c r="D1240">
        <v>69.763383613258</v>
      </c>
    </row>
    <row r="1241" spans="1:4" x14ac:dyDescent="0.3">
      <c r="A1241">
        <v>2020</v>
      </c>
      <c r="B1241" t="s">
        <v>121</v>
      </c>
      <c r="C1241">
        <v>15</v>
      </c>
      <c r="D1241">
        <v>361.897552493776</v>
      </c>
    </row>
    <row r="1242" spans="1:4" x14ac:dyDescent="0.3">
      <c r="A1242">
        <v>2020</v>
      </c>
      <c r="B1242" t="s">
        <v>121</v>
      </c>
      <c r="C1242">
        <v>20</v>
      </c>
      <c r="D1242">
        <v>638.17334604521795</v>
      </c>
    </row>
    <row r="1243" spans="1:4" x14ac:dyDescent="0.3">
      <c r="A1243">
        <v>2020</v>
      </c>
      <c r="B1243" t="s">
        <v>121</v>
      </c>
      <c r="C1243">
        <v>25</v>
      </c>
      <c r="D1243">
        <v>661.77792865788001</v>
      </c>
    </row>
    <row r="1244" spans="1:4" x14ac:dyDescent="0.3">
      <c r="A1244">
        <v>2020</v>
      </c>
      <c r="B1244" t="s">
        <v>121</v>
      </c>
      <c r="C1244">
        <v>30</v>
      </c>
      <c r="D1244">
        <v>561.48898885625897</v>
      </c>
    </row>
    <row r="1245" spans="1:4" x14ac:dyDescent="0.3">
      <c r="A1245">
        <v>2020</v>
      </c>
      <c r="B1245" t="s">
        <v>121</v>
      </c>
      <c r="C1245">
        <v>35</v>
      </c>
      <c r="D1245">
        <v>426.30985972402698</v>
      </c>
    </row>
    <row r="1246" spans="1:4" x14ac:dyDescent="0.3">
      <c r="A1246">
        <v>2020</v>
      </c>
      <c r="B1246" t="s">
        <v>121</v>
      </c>
      <c r="C1246">
        <v>40</v>
      </c>
      <c r="D1246">
        <v>378.24834552813297</v>
      </c>
    </row>
    <row r="1247" spans="1:4" x14ac:dyDescent="0.3">
      <c r="A1247">
        <v>2020</v>
      </c>
      <c r="B1247" t="s">
        <v>121</v>
      </c>
      <c r="C1247">
        <v>45</v>
      </c>
      <c r="D1247">
        <v>268.65914582718898</v>
      </c>
    </row>
    <row r="1248" spans="1:4" x14ac:dyDescent="0.3">
      <c r="A1248">
        <v>2020</v>
      </c>
      <c r="B1248" t="s">
        <v>121</v>
      </c>
      <c r="C1248">
        <v>50</v>
      </c>
      <c r="D1248">
        <v>177.67861764001699</v>
      </c>
    </row>
    <row r="1249" spans="1:4" x14ac:dyDescent="0.3">
      <c r="A1249">
        <v>2020</v>
      </c>
      <c r="B1249" t="s">
        <v>121</v>
      </c>
      <c r="C1249">
        <v>55</v>
      </c>
      <c r="D1249">
        <v>117.36138995517</v>
      </c>
    </row>
    <row r="1250" spans="1:4" x14ac:dyDescent="0.3">
      <c r="A1250">
        <v>2020</v>
      </c>
      <c r="B1250" t="s">
        <v>121</v>
      </c>
      <c r="C1250">
        <v>60</v>
      </c>
      <c r="D1250">
        <v>104.672655070788</v>
      </c>
    </row>
    <row r="1251" spans="1:4" x14ac:dyDescent="0.3">
      <c r="A1251">
        <v>2020</v>
      </c>
      <c r="B1251" t="s">
        <v>121</v>
      </c>
      <c r="C1251">
        <v>65</v>
      </c>
      <c r="D1251">
        <v>57.772802054729297</v>
      </c>
    </row>
    <row r="1252" spans="1:4" x14ac:dyDescent="0.3">
      <c r="A1252">
        <v>2020</v>
      </c>
      <c r="B1252" t="s">
        <v>121</v>
      </c>
      <c r="C1252">
        <v>70</v>
      </c>
      <c r="D1252">
        <v>53.412590578900698</v>
      </c>
    </row>
    <row r="1253" spans="1:4" x14ac:dyDescent="0.3">
      <c r="A1253">
        <v>2020</v>
      </c>
      <c r="B1253" t="s">
        <v>121</v>
      </c>
      <c r="C1253">
        <v>75</v>
      </c>
      <c r="D1253">
        <v>38.151850413500497</v>
      </c>
    </row>
    <row r="1254" spans="1:4" x14ac:dyDescent="0.3">
      <c r="A1254">
        <v>2020</v>
      </c>
      <c r="B1254" t="s">
        <v>121</v>
      </c>
      <c r="C1254">
        <v>80</v>
      </c>
      <c r="D1254">
        <v>27.2513217239289</v>
      </c>
    </row>
    <row r="1255" spans="1:4" x14ac:dyDescent="0.3">
      <c r="A1255">
        <v>2020</v>
      </c>
      <c r="B1255" t="s">
        <v>121</v>
      </c>
      <c r="C1255">
        <v>85</v>
      </c>
      <c r="D1255">
        <v>20.631244544164701</v>
      </c>
    </row>
    <row r="1256" spans="1:4" x14ac:dyDescent="0.3">
      <c r="A1256">
        <v>2021</v>
      </c>
      <c r="B1256" t="s">
        <v>121</v>
      </c>
      <c r="C1256">
        <v>0</v>
      </c>
      <c r="D1256">
        <v>28.344498242124899</v>
      </c>
    </row>
    <row r="1257" spans="1:4" x14ac:dyDescent="0.3">
      <c r="A1257">
        <v>2021</v>
      </c>
      <c r="B1257" t="s">
        <v>121</v>
      </c>
      <c r="C1257">
        <v>1</v>
      </c>
      <c r="D1257">
        <v>28.004364263219401</v>
      </c>
    </row>
    <row r="1258" spans="1:4" x14ac:dyDescent="0.3">
      <c r="A1258">
        <v>2021</v>
      </c>
      <c r="B1258" t="s">
        <v>121</v>
      </c>
      <c r="C1258">
        <v>5</v>
      </c>
      <c r="D1258">
        <v>38.7752735952268</v>
      </c>
    </row>
    <row r="1259" spans="1:4" x14ac:dyDescent="0.3">
      <c r="A1259">
        <v>2021</v>
      </c>
      <c r="B1259" t="s">
        <v>121</v>
      </c>
      <c r="C1259">
        <v>10</v>
      </c>
      <c r="D1259">
        <v>87.244365589260298</v>
      </c>
    </row>
    <row r="1260" spans="1:4" x14ac:dyDescent="0.3">
      <c r="A1260">
        <v>2021</v>
      </c>
      <c r="B1260" t="s">
        <v>121</v>
      </c>
      <c r="C1260">
        <v>15</v>
      </c>
      <c r="D1260">
        <v>360.82546262224901</v>
      </c>
    </row>
    <row r="1261" spans="1:4" x14ac:dyDescent="0.3">
      <c r="A1261">
        <v>2021</v>
      </c>
      <c r="B1261" t="s">
        <v>121</v>
      </c>
      <c r="C1261">
        <v>20</v>
      </c>
      <c r="D1261">
        <v>581.02467899397595</v>
      </c>
    </row>
    <row r="1262" spans="1:4" x14ac:dyDescent="0.3">
      <c r="A1262">
        <v>2021</v>
      </c>
      <c r="B1262" t="s">
        <v>121</v>
      </c>
      <c r="C1262">
        <v>25</v>
      </c>
      <c r="D1262">
        <v>615.48021588058202</v>
      </c>
    </row>
    <row r="1263" spans="1:4" x14ac:dyDescent="0.3">
      <c r="A1263">
        <v>2021</v>
      </c>
      <c r="B1263" t="s">
        <v>121</v>
      </c>
      <c r="C1263">
        <v>30</v>
      </c>
      <c r="D1263">
        <v>573.359446345572</v>
      </c>
    </row>
    <row r="1264" spans="1:4" x14ac:dyDescent="0.3">
      <c r="A1264">
        <v>2021</v>
      </c>
      <c r="B1264" t="s">
        <v>121</v>
      </c>
      <c r="C1264">
        <v>35</v>
      </c>
      <c r="D1264">
        <v>482.649929896142</v>
      </c>
    </row>
    <row r="1265" spans="1:4" x14ac:dyDescent="0.3">
      <c r="A1265">
        <v>2021</v>
      </c>
      <c r="B1265" t="s">
        <v>121</v>
      </c>
      <c r="C1265">
        <v>40</v>
      </c>
      <c r="D1265">
        <v>355.75271177556198</v>
      </c>
    </row>
    <row r="1266" spans="1:4" x14ac:dyDescent="0.3">
      <c r="A1266">
        <v>2021</v>
      </c>
      <c r="B1266" t="s">
        <v>121</v>
      </c>
      <c r="C1266">
        <v>45</v>
      </c>
      <c r="D1266">
        <v>276.05112687063797</v>
      </c>
    </row>
    <row r="1267" spans="1:4" x14ac:dyDescent="0.3">
      <c r="A1267">
        <v>2021</v>
      </c>
      <c r="B1267" t="s">
        <v>121</v>
      </c>
      <c r="C1267">
        <v>50</v>
      </c>
      <c r="D1267">
        <v>171.35504097628501</v>
      </c>
    </row>
    <row r="1268" spans="1:4" x14ac:dyDescent="0.3">
      <c r="A1268">
        <v>2021</v>
      </c>
      <c r="B1268" t="s">
        <v>121</v>
      </c>
      <c r="C1268">
        <v>55</v>
      </c>
      <c r="D1268">
        <v>115.24872985248</v>
      </c>
    </row>
    <row r="1269" spans="1:4" x14ac:dyDescent="0.3">
      <c r="A1269">
        <v>2021</v>
      </c>
      <c r="B1269" t="s">
        <v>121</v>
      </c>
      <c r="C1269">
        <v>60</v>
      </c>
      <c r="D1269">
        <v>78.627638123654407</v>
      </c>
    </row>
    <row r="1270" spans="1:4" x14ac:dyDescent="0.3">
      <c r="A1270">
        <v>2021</v>
      </c>
      <c r="B1270" t="s">
        <v>121</v>
      </c>
      <c r="C1270">
        <v>65</v>
      </c>
      <c r="D1270">
        <v>72.165092524449904</v>
      </c>
    </row>
    <row r="1271" spans="1:4" x14ac:dyDescent="0.3">
      <c r="A1271">
        <v>2021</v>
      </c>
      <c r="B1271" t="s">
        <v>121</v>
      </c>
      <c r="C1271">
        <v>70</v>
      </c>
      <c r="D1271">
        <v>44.160728261230503</v>
      </c>
    </row>
    <row r="1272" spans="1:4" x14ac:dyDescent="0.3">
      <c r="A1272">
        <v>2021</v>
      </c>
      <c r="B1272" t="s">
        <v>121</v>
      </c>
      <c r="C1272">
        <v>75</v>
      </c>
      <c r="D1272">
        <v>29.081455196420102</v>
      </c>
    </row>
    <row r="1273" spans="1:4" x14ac:dyDescent="0.3">
      <c r="A1273">
        <v>2021</v>
      </c>
      <c r="B1273" t="s">
        <v>121</v>
      </c>
      <c r="C1273">
        <v>80</v>
      </c>
      <c r="D1273">
        <v>19.3876367976134</v>
      </c>
    </row>
    <row r="1274" spans="1:4" x14ac:dyDescent="0.3">
      <c r="A1274">
        <v>2021</v>
      </c>
      <c r="B1274" t="s">
        <v>121</v>
      </c>
      <c r="C1274">
        <v>85</v>
      </c>
      <c r="D1274">
        <v>25.377313206632198</v>
      </c>
    </row>
    <row r="1275" spans="1:4" x14ac:dyDescent="0.3">
      <c r="A1275">
        <v>2022</v>
      </c>
      <c r="B1275" t="s">
        <v>121</v>
      </c>
      <c r="C1275">
        <v>0</v>
      </c>
      <c r="D1275">
        <v>36.841092014739402</v>
      </c>
    </row>
    <row r="1276" spans="1:4" x14ac:dyDescent="0.3">
      <c r="A1276">
        <v>2022</v>
      </c>
      <c r="B1276" t="s">
        <v>121</v>
      </c>
      <c r="C1276">
        <v>1</v>
      </c>
      <c r="D1276">
        <v>32.506845895358303</v>
      </c>
    </row>
    <row r="1277" spans="1:4" x14ac:dyDescent="0.3">
      <c r="A1277">
        <v>2022</v>
      </c>
      <c r="B1277" t="s">
        <v>121</v>
      </c>
      <c r="C1277">
        <v>5</v>
      </c>
      <c r="D1277">
        <v>34.6739689550488</v>
      </c>
    </row>
    <row r="1278" spans="1:4" x14ac:dyDescent="0.3">
      <c r="A1278">
        <v>2022</v>
      </c>
      <c r="B1278" t="s">
        <v>121</v>
      </c>
      <c r="C1278">
        <v>10</v>
      </c>
      <c r="D1278">
        <v>60.6794456713355</v>
      </c>
    </row>
    <row r="1279" spans="1:4" x14ac:dyDescent="0.3">
      <c r="A1279">
        <v>2022</v>
      </c>
      <c r="B1279" t="s">
        <v>121</v>
      </c>
      <c r="C1279">
        <v>15</v>
      </c>
      <c r="D1279">
        <v>377.07941238615598</v>
      </c>
    </row>
    <row r="1280" spans="1:4" x14ac:dyDescent="0.3">
      <c r="A1280">
        <v>2022</v>
      </c>
      <c r="B1280" t="s">
        <v>121</v>
      </c>
      <c r="C1280">
        <v>20</v>
      </c>
      <c r="D1280">
        <v>553.83139947689801</v>
      </c>
    </row>
    <row r="1281" spans="1:4" x14ac:dyDescent="0.3">
      <c r="A1281">
        <v>2022</v>
      </c>
      <c r="B1281" t="s">
        <v>121</v>
      </c>
      <c r="C1281">
        <v>25</v>
      </c>
      <c r="D1281">
        <v>634.01309698258206</v>
      </c>
    </row>
    <row r="1282" spans="1:4" x14ac:dyDescent="0.3">
      <c r="A1282">
        <v>2022</v>
      </c>
      <c r="B1282" t="s">
        <v>121</v>
      </c>
      <c r="C1282">
        <v>30</v>
      </c>
      <c r="D1282">
        <v>552.85654379354696</v>
      </c>
    </row>
    <row r="1283" spans="1:4" x14ac:dyDescent="0.3">
      <c r="A1283">
        <v>2022</v>
      </c>
      <c r="B1283" t="s">
        <v>121</v>
      </c>
      <c r="C1283">
        <v>35</v>
      </c>
      <c r="D1283">
        <v>491.93693454975499</v>
      </c>
    </row>
    <row r="1284" spans="1:4" x14ac:dyDescent="0.3">
      <c r="A1284">
        <v>2022</v>
      </c>
      <c r="B1284" t="s">
        <v>121</v>
      </c>
      <c r="C1284">
        <v>40</v>
      </c>
      <c r="D1284">
        <v>381.413658505537</v>
      </c>
    </row>
    <row r="1285" spans="1:4" x14ac:dyDescent="0.3">
      <c r="A1285">
        <v>2022</v>
      </c>
      <c r="B1285" t="s">
        <v>121</v>
      </c>
      <c r="C1285">
        <v>45</v>
      </c>
      <c r="D1285">
        <v>250.50737628337899</v>
      </c>
    </row>
    <row r="1286" spans="1:4" x14ac:dyDescent="0.3">
      <c r="A1286">
        <v>2022</v>
      </c>
      <c r="B1286" t="s">
        <v>121</v>
      </c>
      <c r="C1286">
        <v>50</v>
      </c>
      <c r="D1286">
        <v>180.95477548416099</v>
      </c>
    </row>
    <row r="1287" spans="1:4" x14ac:dyDescent="0.3">
      <c r="A1287">
        <v>2022</v>
      </c>
      <c r="B1287" t="s">
        <v>121</v>
      </c>
      <c r="C1287">
        <v>55</v>
      </c>
      <c r="D1287">
        <v>131.110945111278</v>
      </c>
    </row>
    <row r="1288" spans="1:4" x14ac:dyDescent="0.3">
      <c r="A1288">
        <v>2022</v>
      </c>
      <c r="B1288" t="s">
        <v>121</v>
      </c>
      <c r="C1288">
        <v>60</v>
      </c>
      <c r="D1288">
        <v>71.515060969788195</v>
      </c>
    </row>
    <row r="1289" spans="1:4" x14ac:dyDescent="0.3">
      <c r="A1289">
        <v>2022</v>
      </c>
      <c r="B1289" t="s">
        <v>121</v>
      </c>
      <c r="C1289">
        <v>65</v>
      </c>
      <c r="D1289">
        <v>67.352194480127594</v>
      </c>
    </row>
    <row r="1290" spans="1:4" x14ac:dyDescent="0.3">
      <c r="A1290">
        <v>2022</v>
      </c>
      <c r="B1290" t="s">
        <v>121</v>
      </c>
      <c r="C1290">
        <v>70</v>
      </c>
      <c r="D1290">
        <v>37.9246535445847</v>
      </c>
    </row>
    <row r="1291" spans="1:4" x14ac:dyDescent="0.3">
      <c r="A1291">
        <v>2022</v>
      </c>
      <c r="B1291" t="s">
        <v>121</v>
      </c>
      <c r="C1291">
        <v>75</v>
      </c>
      <c r="D1291">
        <v>37.9246535445847</v>
      </c>
    </row>
    <row r="1292" spans="1:4" x14ac:dyDescent="0.3">
      <c r="A1292">
        <v>2022</v>
      </c>
      <c r="B1292" t="s">
        <v>121</v>
      </c>
      <c r="C1292">
        <v>80</v>
      </c>
      <c r="D1292">
        <v>28.172599775977201</v>
      </c>
    </row>
    <row r="1293" spans="1:4" x14ac:dyDescent="0.3">
      <c r="A1293">
        <v>2022</v>
      </c>
      <c r="B1293" t="s">
        <v>121</v>
      </c>
      <c r="C1293">
        <v>85</v>
      </c>
      <c r="D1293">
        <v>16.4340165359867</v>
      </c>
    </row>
    <row r="1294" spans="1:4" x14ac:dyDescent="0.3">
      <c r="A1294">
        <v>2023</v>
      </c>
      <c r="B1294" t="s">
        <v>121</v>
      </c>
      <c r="C1294">
        <v>0</v>
      </c>
      <c r="D1294">
        <v>22.858914228525499</v>
      </c>
    </row>
    <row r="1295" spans="1:4" x14ac:dyDescent="0.3">
      <c r="A1295">
        <v>2023</v>
      </c>
      <c r="B1295" t="s">
        <v>121</v>
      </c>
      <c r="C1295">
        <v>1</v>
      </c>
      <c r="D1295">
        <v>37.212185953413503</v>
      </c>
    </row>
    <row r="1296" spans="1:4" x14ac:dyDescent="0.3">
      <c r="A1296">
        <v>2023</v>
      </c>
      <c r="B1296" t="s">
        <v>121</v>
      </c>
      <c r="C1296">
        <v>5</v>
      </c>
      <c r="D1296">
        <v>34.022570014549501</v>
      </c>
    </row>
    <row r="1297" spans="1:4" x14ac:dyDescent="0.3">
      <c r="A1297">
        <v>2023</v>
      </c>
      <c r="B1297" t="s">
        <v>121</v>
      </c>
      <c r="C1297">
        <v>10</v>
      </c>
      <c r="D1297">
        <v>58.476292212506998</v>
      </c>
    </row>
    <row r="1298" spans="1:4" x14ac:dyDescent="0.3">
      <c r="A1298">
        <v>2023</v>
      </c>
      <c r="B1298" t="s">
        <v>121</v>
      </c>
      <c r="C1298">
        <v>15</v>
      </c>
      <c r="D1298">
        <v>282.812613245943</v>
      </c>
    </row>
    <row r="1299" spans="1:4" x14ac:dyDescent="0.3">
      <c r="A1299">
        <v>2023</v>
      </c>
      <c r="B1299" t="s">
        <v>121</v>
      </c>
      <c r="C1299">
        <v>20</v>
      </c>
      <c r="D1299">
        <v>580.79648967486605</v>
      </c>
    </row>
    <row r="1300" spans="1:4" x14ac:dyDescent="0.3">
      <c r="A1300">
        <v>2023</v>
      </c>
      <c r="B1300" t="s">
        <v>121</v>
      </c>
      <c r="C1300">
        <v>25</v>
      </c>
      <c r="D1300">
        <v>532.88697671838997</v>
      </c>
    </row>
    <row r="1301" spans="1:4" x14ac:dyDescent="0.3">
      <c r="A1301">
        <v>2023</v>
      </c>
      <c r="B1301" t="s">
        <v>121</v>
      </c>
      <c r="C1301">
        <v>30</v>
      </c>
      <c r="D1301">
        <v>556.29693951400202</v>
      </c>
    </row>
    <row r="1302" spans="1:4" x14ac:dyDescent="0.3">
      <c r="A1302">
        <v>2023</v>
      </c>
      <c r="B1302" t="s">
        <v>121</v>
      </c>
      <c r="C1302">
        <v>35</v>
      </c>
      <c r="D1302">
        <v>419.12073152218801</v>
      </c>
    </row>
    <row r="1303" spans="1:4" x14ac:dyDescent="0.3">
      <c r="A1303">
        <v>2023</v>
      </c>
      <c r="B1303" t="s">
        <v>121</v>
      </c>
      <c r="C1303">
        <v>40</v>
      </c>
      <c r="D1303">
        <v>357.35141083667497</v>
      </c>
    </row>
    <row r="1304" spans="1:4" x14ac:dyDescent="0.3">
      <c r="A1304">
        <v>2023</v>
      </c>
      <c r="B1304" t="s">
        <v>121</v>
      </c>
      <c r="C1304">
        <v>45</v>
      </c>
      <c r="D1304">
        <v>252.08491383156499</v>
      </c>
    </row>
    <row r="1305" spans="1:4" x14ac:dyDescent="0.3">
      <c r="A1305">
        <v>2023</v>
      </c>
      <c r="B1305" t="s">
        <v>121</v>
      </c>
      <c r="C1305">
        <v>50</v>
      </c>
      <c r="D1305">
        <v>187.23459796968001</v>
      </c>
    </row>
    <row r="1306" spans="1:4" x14ac:dyDescent="0.3">
      <c r="A1306">
        <v>2023</v>
      </c>
      <c r="B1306" t="s">
        <v>121</v>
      </c>
      <c r="C1306">
        <v>55</v>
      </c>
      <c r="D1306">
        <v>112.798190913958</v>
      </c>
    </row>
    <row r="1307" spans="1:4" x14ac:dyDescent="0.3">
      <c r="A1307">
        <v>2023</v>
      </c>
      <c r="B1307" t="s">
        <v>121</v>
      </c>
      <c r="C1307">
        <v>60</v>
      </c>
      <c r="D1307">
        <v>77.613987845691099</v>
      </c>
    </row>
    <row r="1308" spans="1:4" x14ac:dyDescent="0.3">
      <c r="A1308">
        <v>2023</v>
      </c>
      <c r="B1308" t="s">
        <v>121</v>
      </c>
      <c r="C1308">
        <v>65</v>
      </c>
      <c r="D1308">
        <v>68.045140029099002</v>
      </c>
    </row>
    <row r="1309" spans="1:4" x14ac:dyDescent="0.3">
      <c r="A1309">
        <v>2023</v>
      </c>
      <c r="B1309" t="s">
        <v>121</v>
      </c>
      <c r="C1309">
        <v>70</v>
      </c>
      <c r="D1309">
        <v>44.654623144096199</v>
      </c>
    </row>
    <row r="1310" spans="1:4" x14ac:dyDescent="0.3">
      <c r="A1310">
        <v>2023</v>
      </c>
      <c r="B1310" t="s">
        <v>121</v>
      </c>
      <c r="C1310">
        <v>75</v>
      </c>
      <c r="D1310">
        <v>46.7810337700056</v>
      </c>
    </row>
    <row r="1311" spans="1:4" x14ac:dyDescent="0.3">
      <c r="A1311">
        <v>2023</v>
      </c>
      <c r="B1311" t="s">
        <v>121</v>
      </c>
      <c r="C1311">
        <v>80</v>
      </c>
      <c r="D1311">
        <v>28.706543449776198</v>
      </c>
    </row>
    <row r="1312" spans="1:4" x14ac:dyDescent="0.3">
      <c r="A1312">
        <v>2023</v>
      </c>
      <c r="B1312" t="s">
        <v>121</v>
      </c>
      <c r="C1312">
        <v>85</v>
      </c>
      <c r="D1312">
        <v>13.821669068410699</v>
      </c>
    </row>
    <row r="1313" spans="1:4" x14ac:dyDescent="0.3">
      <c r="A1313">
        <v>2024</v>
      </c>
      <c r="B1313" t="s">
        <v>121</v>
      </c>
      <c r="C1313">
        <v>0</v>
      </c>
      <c r="D1313">
        <v>13.992896178937499</v>
      </c>
    </row>
    <row r="1314" spans="1:4" x14ac:dyDescent="0.3">
      <c r="A1314">
        <v>2024</v>
      </c>
      <c r="B1314" t="s">
        <v>121</v>
      </c>
      <c r="C1314">
        <v>1</v>
      </c>
      <c r="D1314">
        <v>33.213907413741701</v>
      </c>
    </row>
    <row r="1315" spans="1:4" x14ac:dyDescent="0.3">
      <c r="A1315">
        <v>2024</v>
      </c>
      <c r="B1315" t="s">
        <v>121</v>
      </c>
      <c r="C1315">
        <v>5</v>
      </c>
      <c r="D1315">
        <v>36.327711233780001</v>
      </c>
    </row>
    <row r="1316" spans="1:4" x14ac:dyDescent="0.3">
      <c r="A1316">
        <v>2024</v>
      </c>
      <c r="B1316" t="s">
        <v>121</v>
      </c>
      <c r="C1316">
        <v>10</v>
      </c>
      <c r="D1316">
        <v>51.896730333971398</v>
      </c>
    </row>
    <row r="1317" spans="1:4" x14ac:dyDescent="0.3">
      <c r="A1317">
        <v>2024</v>
      </c>
      <c r="B1317" t="s">
        <v>121</v>
      </c>
      <c r="C1317">
        <v>15</v>
      </c>
      <c r="D1317">
        <v>255.33191324313901</v>
      </c>
    </row>
    <row r="1318" spans="1:4" x14ac:dyDescent="0.3">
      <c r="A1318">
        <v>2024</v>
      </c>
      <c r="B1318" t="s">
        <v>121</v>
      </c>
      <c r="C1318">
        <v>20</v>
      </c>
      <c r="D1318">
        <v>490.02278688255399</v>
      </c>
    </row>
    <row r="1319" spans="1:4" x14ac:dyDescent="0.3">
      <c r="A1319">
        <v>2024</v>
      </c>
      <c r="B1319" t="s">
        <v>121</v>
      </c>
      <c r="C1319">
        <v>25</v>
      </c>
      <c r="D1319">
        <v>551.143276146777</v>
      </c>
    </row>
    <row r="1320" spans="1:4" x14ac:dyDescent="0.3">
      <c r="A1320">
        <v>2024</v>
      </c>
      <c r="B1320" t="s">
        <v>121</v>
      </c>
      <c r="C1320">
        <v>30</v>
      </c>
      <c r="D1320">
        <v>543.99163499612496</v>
      </c>
    </row>
    <row r="1321" spans="1:4" x14ac:dyDescent="0.3">
      <c r="A1321">
        <v>2024</v>
      </c>
      <c r="B1321" t="s">
        <v>121</v>
      </c>
      <c r="C1321">
        <v>35</v>
      </c>
      <c r="D1321">
        <v>458.883830782372</v>
      </c>
    </row>
    <row r="1322" spans="1:4" x14ac:dyDescent="0.3">
      <c r="A1322">
        <v>2024</v>
      </c>
      <c r="B1322" t="s">
        <v>121</v>
      </c>
      <c r="C1322">
        <v>40</v>
      </c>
      <c r="D1322">
        <v>370.77117302710002</v>
      </c>
    </row>
    <row r="1323" spans="1:4" x14ac:dyDescent="0.3">
      <c r="A1323">
        <v>2024</v>
      </c>
      <c r="B1323" t="s">
        <v>121</v>
      </c>
      <c r="C1323">
        <v>45</v>
      </c>
      <c r="D1323">
        <v>248.066370996383</v>
      </c>
    </row>
    <row r="1324" spans="1:4" x14ac:dyDescent="0.3">
      <c r="A1324">
        <v>2024</v>
      </c>
      <c r="B1324" t="s">
        <v>121</v>
      </c>
      <c r="C1324">
        <v>50</v>
      </c>
      <c r="D1324">
        <v>182.77987305671999</v>
      </c>
    </row>
    <row r="1325" spans="1:4" x14ac:dyDescent="0.3">
      <c r="A1325">
        <v>2024</v>
      </c>
      <c r="B1325" t="s">
        <v>121</v>
      </c>
      <c r="C1325">
        <v>55</v>
      </c>
      <c r="D1325">
        <v>147.386714148479</v>
      </c>
    </row>
    <row r="1326" spans="1:4" x14ac:dyDescent="0.3">
      <c r="A1326">
        <v>2024</v>
      </c>
      <c r="B1326" t="s">
        <v>121</v>
      </c>
      <c r="C1326">
        <v>60</v>
      </c>
      <c r="D1326">
        <v>71.617487860880601</v>
      </c>
    </row>
    <row r="1327" spans="1:4" x14ac:dyDescent="0.3">
      <c r="A1327">
        <v>2024</v>
      </c>
      <c r="B1327" t="s">
        <v>121</v>
      </c>
      <c r="C1327">
        <v>65</v>
      </c>
      <c r="D1327">
        <v>51.896730333971398</v>
      </c>
    </row>
    <row r="1328" spans="1:4" x14ac:dyDescent="0.3">
      <c r="A1328">
        <v>2024</v>
      </c>
      <c r="B1328" t="s">
        <v>121</v>
      </c>
      <c r="C1328">
        <v>70</v>
      </c>
      <c r="D1328">
        <v>43.593253480535999</v>
      </c>
    </row>
    <row r="1329" spans="1:4" x14ac:dyDescent="0.3">
      <c r="A1329">
        <v>2024</v>
      </c>
      <c r="B1329" t="s">
        <v>121</v>
      </c>
      <c r="C1329">
        <v>75</v>
      </c>
      <c r="D1329">
        <v>20.7586921335886</v>
      </c>
    </row>
    <row r="1330" spans="1:4" x14ac:dyDescent="0.3">
      <c r="A1330">
        <v>2024</v>
      </c>
      <c r="B1330" t="s">
        <v>121</v>
      </c>
      <c r="C1330">
        <v>80</v>
      </c>
      <c r="D1330">
        <v>18.6828229202297</v>
      </c>
    </row>
    <row r="1331" spans="1:4" x14ac:dyDescent="0.3">
      <c r="A1331">
        <v>2024</v>
      </c>
      <c r="B1331" t="s">
        <v>121</v>
      </c>
      <c r="C1331">
        <v>85</v>
      </c>
      <c r="D1331">
        <v>18.965895994778698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E0E5A-8B8A-B84C-82BA-E04D66343388}">
  <dimension ref="A1:D1331"/>
  <sheetViews>
    <sheetView workbookViewId="0">
      <selection sqref="A1:D1331"/>
    </sheetView>
  </sheetViews>
  <sheetFormatPr baseColWidth="10" defaultRowHeight="14.4" x14ac:dyDescent="0.3"/>
  <sheetData>
    <row r="1" spans="1:4" x14ac:dyDescent="0.3">
      <c r="A1" t="s">
        <v>116</v>
      </c>
      <c r="B1" t="s">
        <v>117</v>
      </c>
      <c r="C1" t="s">
        <v>118</v>
      </c>
      <c r="D1" t="s">
        <v>119</v>
      </c>
    </row>
    <row r="2" spans="1:4" x14ac:dyDescent="0.3">
      <c r="A2">
        <v>1990</v>
      </c>
      <c r="B2" t="s">
        <v>120</v>
      </c>
      <c r="C2">
        <v>0</v>
      </c>
      <c r="D2">
        <v>750.38359272833304</v>
      </c>
    </row>
    <row r="3" spans="1:4" x14ac:dyDescent="0.3">
      <c r="A3">
        <v>1990</v>
      </c>
      <c r="B3" t="s">
        <v>120</v>
      </c>
      <c r="C3">
        <v>1</v>
      </c>
      <c r="D3">
        <v>188.76289442494601</v>
      </c>
    </row>
    <row r="4" spans="1:4" x14ac:dyDescent="0.3">
      <c r="A4">
        <v>1990</v>
      </c>
      <c r="B4" t="s">
        <v>120</v>
      </c>
      <c r="C4">
        <v>5</v>
      </c>
      <c r="D4">
        <v>54.296092142270098</v>
      </c>
    </row>
    <row r="5" spans="1:4" x14ac:dyDescent="0.3">
      <c r="A5">
        <v>1990</v>
      </c>
      <c r="B5" t="s">
        <v>120</v>
      </c>
      <c r="C5">
        <v>10</v>
      </c>
      <c r="D5">
        <v>38.496726126867401</v>
      </c>
    </row>
    <row r="6" spans="1:4" x14ac:dyDescent="0.3">
      <c r="A6">
        <v>1990</v>
      </c>
      <c r="B6" t="s">
        <v>120</v>
      </c>
      <c r="C6">
        <v>15</v>
      </c>
      <c r="D6">
        <v>76.652773261461604</v>
      </c>
    </row>
    <row r="7" spans="1:4" x14ac:dyDescent="0.3">
      <c r="A7">
        <v>1990</v>
      </c>
      <c r="B7" t="s">
        <v>120</v>
      </c>
      <c r="C7">
        <v>20</v>
      </c>
      <c r="D7">
        <v>99.734644749731899</v>
      </c>
    </row>
    <row r="8" spans="1:4" x14ac:dyDescent="0.3">
      <c r="A8">
        <v>1990</v>
      </c>
      <c r="B8" t="s">
        <v>120</v>
      </c>
      <c r="C8">
        <v>25</v>
      </c>
      <c r="D8">
        <v>107.121635062067</v>
      </c>
    </row>
    <row r="9" spans="1:4" x14ac:dyDescent="0.3">
      <c r="A9">
        <v>1990</v>
      </c>
      <c r="B9" t="s">
        <v>120</v>
      </c>
      <c r="C9">
        <v>30</v>
      </c>
      <c r="D9">
        <v>97.254887057349293</v>
      </c>
    </row>
    <row r="10" spans="1:4" x14ac:dyDescent="0.3">
      <c r="A10">
        <v>1990</v>
      </c>
      <c r="B10" t="s">
        <v>120</v>
      </c>
      <c r="C10">
        <v>35</v>
      </c>
      <c r="D10">
        <v>87.742071567992696</v>
      </c>
    </row>
    <row r="11" spans="1:4" x14ac:dyDescent="0.3">
      <c r="A11">
        <v>1990</v>
      </c>
      <c r="B11" t="s">
        <v>120</v>
      </c>
      <c r="C11">
        <v>40</v>
      </c>
      <c r="D11">
        <v>113.464034900241</v>
      </c>
    </row>
    <row r="12" spans="1:4" x14ac:dyDescent="0.3">
      <c r="A12">
        <v>1990</v>
      </c>
      <c r="B12" t="s">
        <v>120</v>
      </c>
      <c r="C12">
        <v>45</v>
      </c>
      <c r="D12">
        <v>159.55879907846401</v>
      </c>
    </row>
    <row r="13" spans="1:4" x14ac:dyDescent="0.3">
      <c r="A13">
        <v>1990</v>
      </c>
      <c r="B13" t="s">
        <v>120</v>
      </c>
      <c r="C13">
        <v>50</v>
      </c>
      <c r="D13">
        <v>142.15808590307401</v>
      </c>
    </row>
    <row r="14" spans="1:4" x14ac:dyDescent="0.3">
      <c r="A14">
        <v>1990</v>
      </c>
      <c r="B14" t="s">
        <v>120</v>
      </c>
      <c r="C14">
        <v>55</v>
      </c>
      <c r="D14">
        <v>185.02373872937</v>
      </c>
    </row>
    <row r="15" spans="1:4" x14ac:dyDescent="0.3">
      <c r="A15">
        <v>1990</v>
      </c>
      <c r="B15" t="s">
        <v>120</v>
      </c>
      <c r="C15">
        <v>60</v>
      </c>
      <c r="D15">
        <v>143.39251196304099</v>
      </c>
    </row>
    <row r="16" spans="1:4" x14ac:dyDescent="0.3">
      <c r="A16">
        <v>1990</v>
      </c>
      <c r="B16" t="s">
        <v>120</v>
      </c>
      <c r="C16">
        <v>65</v>
      </c>
      <c r="D16">
        <v>166.730845832711</v>
      </c>
    </row>
    <row r="17" spans="1:4" x14ac:dyDescent="0.3">
      <c r="A17">
        <v>1990</v>
      </c>
      <c r="B17" t="s">
        <v>120</v>
      </c>
      <c r="C17">
        <v>70</v>
      </c>
      <c r="D17">
        <v>150.94768928692699</v>
      </c>
    </row>
    <row r="18" spans="1:4" x14ac:dyDescent="0.3">
      <c r="A18">
        <v>1990</v>
      </c>
      <c r="B18" t="s">
        <v>120</v>
      </c>
      <c r="C18">
        <v>75</v>
      </c>
      <c r="D18">
        <v>188.48618231482101</v>
      </c>
    </row>
    <row r="19" spans="1:4" x14ac:dyDescent="0.3">
      <c r="A19">
        <v>1990</v>
      </c>
      <c r="B19" t="s">
        <v>120</v>
      </c>
      <c r="C19">
        <v>80</v>
      </c>
      <c r="D19">
        <v>196.61210962008701</v>
      </c>
    </row>
    <row r="20" spans="1:4" x14ac:dyDescent="0.3">
      <c r="A20">
        <v>1990</v>
      </c>
      <c r="B20" t="s">
        <v>120</v>
      </c>
      <c r="C20">
        <v>85</v>
      </c>
      <c r="D20">
        <v>334.79058392334701</v>
      </c>
    </row>
    <row r="21" spans="1:4" x14ac:dyDescent="0.3">
      <c r="A21" s="139">
        <v>1991</v>
      </c>
      <c r="B21" s="139" t="s">
        <v>120</v>
      </c>
      <c r="C21" s="139">
        <v>0</v>
      </c>
      <c r="D21" s="139">
        <v>613.56184952220497</v>
      </c>
    </row>
    <row r="22" spans="1:4" x14ac:dyDescent="0.3">
      <c r="A22" s="139">
        <v>1991</v>
      </c>
      <c r="B22" s="139" t="s">
        <v>120</v>
      </c>
      <c r="C22" s="139">
        <v>1</v>
      </c>
      <c r="D22" s="139">
        <v>105.815012306111</v>
      </c>
    </row>
    <row r="23" spans="1:4" x14ac:dyDescent="0.3">
      <c r="A23" s="139">
        <v>1991</v>
      </c>
      <c r="B23" s="139" t="s">
        <v>120</v>
      </c>
      <c r="C23" s="139">
        <v>5</v>
      </c>
      <c r="D23" s="139">
        <v>33.784022069615503</v>
      </c>
    </row>
    <row r="24" spans="1:4" x14ac:dyDescent="0.3">
      <c r="A24" s="139">
        <v>1991</v>
      </c>
      <c r="B24" s="139" t="s">
        <v>120</v>
      </c>
      <c r="C24" s="139">
        <v>10</v>
      </c>
      <c r="D24" s="139">
        <v>40.310480878518497</v>
      </c>
    </row>
    <row r="25" spans="1:4" x14ac:dyDescent="0.3">
      <c r="A25" s="139">
        <v>1991</v>
      </c>
      <c r="B25" s="139" t="s">
        <v>120</v>
      </c>
      <c r="C25" s="139">
        <v>15</v>
      </c>
      <c r="D25" s="139">
        <v>73.566627603296197</v>
      </c>
    </row>
    <row r="26" spans="1:4" x14ac:dyDescent="0.3">
      <c r="A26" s="139">
        <v>1991</v>
      </c>
      <c r="B26" s="139" t="s">
        <v>120</v>
      </c>
      <c r="C26" s="139">
        <v>20</v>
      </c>
      <c r="D26" s="139">
        <v>95.737392086481407</v>
      </c>
    </row>
    <row r="27" spans="1:4" x14ac:dyDescent="0.3">
      <c r="A27" s="139">
        <v>1991</v>
      </c>
      <c r="B27" s="139" t="s">
        <v>120</v>
      </c>
      <c r="C27" s="139">
        <v>25</v>
      </c>
      <c r="D27" s="139">
        <v>86.667533888814702</v>
      </c>
    </row>
    <row r="28" spans="1:4" x14ac:dyDescent="0.3">
      <c r="A28" s="139">
        <v>1991</v>
      </c>
      <c r="B28" s="139" t="s">
        <v>120</v>
      </c>
      <c r="C28" s="139">
        <v>30</v>
      </c>
      <c r="D28" s="139">
        <v>105.815012306111</v>
      </c>
    </row>
    <row r="29" spans="1:4" x14ac:dyDescent="0.3">
      <c r="A29" s="139">
        <v>1991</v>
      </c>
      <c r="B29" s="139" t="s">
        <v>120</v>
      </c>
      <c r="C29" s="139">
        <v>35</v>
      </c>
      <c r="D29" s="139">
        <v>118.91591859163</v>
      </c>
    </row>
    <row r="30" spans="1:4" x14ac:dyDescent="0.3">
      <c r="A30" s="139">
        <v>1991</v>
      </c>
      <c r="B30" s="139" t="s">
        <v>120</v>
      </c>
      <c r="C30" s="139">
        <v>40</v>
      </c>
      <c r="D30" s="139">
        <v>114.884870503778</v>
      </c>
    </row>
    <row r="31" spans="1:4" x14ac:dyDescent="0.3">
      <c r="A31" s="139">
        <v>1991</v>
      </c>
      <c r="B31" s="139" t="s">
        <v>120</v>
      </c>
      <c r="C31" s="139">
        <v>45</v>
      </c>
      <c r="D31" s="139">
        <v>140.078921052852</v>
      </c>
    </row>
    <row r="32" spans="1:4" x14ac:dyDescent="0.3">
      <c r="A32" s="139">
        <v>1991</v>
      </c>
      <c r="B32" s="139" t="s">
        <v>120</v>
      </c>
      <c r="C32" s="139">
        <v>50</v>
      </c>
      <c r="D32" s="139">
        <v>119.923680613592</v>
      </c>
    </row>
    <row r="33" spans="1:4" x14ac:dyDescent="0.3">
      <c r="A33" s="139">
        <v>1991</v>
      </c>
      <c r="B33" s="139" t="s">
        <v>120</v>
      </c>
      <c r="C33" s="139">
        <v>55</v>
      </c>
      <c r="D33" s="139">
        <v>166.28073362388901</v>
      </c>
    </row>
    <row r="34" spans="1:4" x14ac:dyDescent="0.3">
      <c r="A34" s="139">
        <v>1991</v>
      </c>
      <c r="B34" s="139" t="s">
        <v>120</v>
      </c>
      <c r="C34" s="139">
        <v>60</v>
      </c>
      <c r="D34" s="139">
        <v>170.93335755740401</v>
      </c>
    </row>
    <row r="35" spans="1:4" x14ac:dyDescent="0.3">
      <c r="A35" s="139">
        <v>1991</v>
      </c>
      <c r="B35" s="139" t="s">
        <v>120</v>
      </c>
      <c r="C35" s="139">
        <v>65</v>
      </c>
      <c r="D35" s="139">
        <v>162.811103133047</v>
      </c>
    </row>
    <row r="36" spans="1:4" x14ac:dyDescent="0.3">
      <c r="A36" s="139">
        <v>1991</v>
      </c>
      <c r="B36" s="139" t="s">
        <v>120</v>
      </c>
      <c r="C36" s="139">
        <v>70</v>
      </c>
      <c r="D36" s="139">
        <v>146.60775553837399</v>
      </c>
    </row>
    <row r="37" spans="1:4" x14ac:dyDescent="0.3">
      <c r="A37" s="139">
        <v>1991</v>
      </c>
      <c r="B37" s="139" t="s">
        <v>120</v>
      </c>
      <c r="C37" s="139">
        <v>75</v>
      </c>
      <c r="D37" s="139">
        <v>185.96881907337499</v>
      </c>
    </row>
    <row r="38" spans="1:4" x14ac:dyDescent="0.3">
      <c r="A38" s="139">
        <v>1991</v>
      </c>
      <c r="B38" s="139" t="s">
        <v>120</v>
      </c>
      <c r="C38" s="139">
        <v>80</v>
      </c>
      <c r="D38" s="139">
        <v>204.56581043865799</v>
      </c>
    </row>
    <row r="39" spans="1:4" x14ac:dyDescent="0.3">
      <c r="A39" s="139">
        <v>1991</v>
      </c>
      <c r="B39" s="139" t="s">
        <v>120</v>
      </c>
      <c r="C39" s="139">
        <v>85</v>
      </c>
      <c r="D39" s="139">
        <v>299.91654117946803</v>
      </c>
    </row>
    <row r="40" spans="1:4" x14ac:dyDescent="0.3">
      <c r="A40">
        <v>1992</v>
      </c>
      <c r="B40" t="s">
        <v>120</v>
      </c>
      <c r="C40">
        <v>0</v>
      </c>
      <c r="D40">
        <v>614.86774761174502</v>
      </c>
    </row>
    <row r="41" spans="1:4" x14ac:dyDescent="0.3">
      <c r="A41">
        <v>1992</v>
      </c>
      <c r="B41" t="s">
        <v>120</v>
      </c>
      <c r="C41">
        <v>1</v>
      </c>
      <c r="D41">
        <v>92.624121068803007</v>
      </c>
    </row>
    <row r="42" spans="1:4" x14ac:dyDescent="0.3">
      <c r="A42">
        <v>1992</v>
      </c>
      <c r="B42" t="s">
        <v>120</v>
      </c>
      <c r="C42">
        <v>5</v>
      </c>
      <c r="D42">
        <v>40.271356986436103</v>
      </c>
    </row>
    <row r="43" spans="1:4" x14ac:dyDescent="0.3">
      <c r="A43">
        <v>1992</v>
      </c>
      <c r="B43" t="s">
        <v>120</v>
      </c>
      <c r="C43">
        <v>10</v>
      </c>
      <c r="D43">
        <v>37.2510052124534</v>
      </c>
    </row>
    <row r="44" spans="1:4" x14ac:dyDescent="0.3">
      <c r="A44">
        <v>1992</v>
      </c>
      <c r="B44" t="s">
        <v>120</v>
      </c>
      <c r="C44">
        <v>15</v>
      </c>
      <c r="D44">
        <v>95.644472842785802</v>
      </c>
    </row>
    <row r="45" spans="1:4" x14ac:dyDescent="0.3">
      <c r="A45">
        <v>1992</v>
      </c>
      <c r="B45" t="s">
        <v>120</v>
      </c>
      <c r="C45">
        <v>20</v>
      </c>
      <c r="D45">
        <v>99.671608541429407</v>
      </c>
    </row>
    <row r="46" spans="1:4" x14ac:dyDescent="0.3">
      <c r="A46">
        <v>1992</v>
      </c>
      <c r="B46" t="s">
        <v>120</v>
      </c>
      <c r="C46">
        <v>25</v>
      </c>
      <c r="D46">
        <v>112.759799562021</v>
      </c>
    </row>
    <row r="47" spans="1:4" x14ac:dyDescent="0.3">
      <c r="A47">
        <v>1992</v>
      </c>
      <c r="B47" t="s">
        <v>120</v>
      </c>
      <c r="C47">
        <v>30</v>
      </c>
      <c r="D47">
        <v>104.399411430884</v>
      </c>
    </row>
    <row r="48" spans="1:4" x14ac:dyDescent="0.3">
      <c r="A48">
        <v>1992</v>
      </c>
      <c r="B48" t="s">
        <v>120</v>
      </c>
      <c r="C48">
        <v>35</v>
      </c>
      <c r="D48">
        <v>129.875126281256</v>
      </c>
    </row>
    <row r="49" spans="1:4" x14ac:dyDescent="0.3">
      <c r="A49">
        <v>1992</v>
      </c>
      <c r="B49" t="s">
        <v>120</v>
      </c>
      <c r="C49">
        <v>40</v>
      </c>
      <c r="D49">
        <v>112.24280241152</v>
      </c>
    </row>
    <row r="50" spans="1:4" x14ac:dyDescent="0.3">
      <c r="A50">
        <v>1992</v>
      </c>
      <c r="B50" t="s">
        <v>120</v>
      </c>
      <c r="C50">
        <v>45</v>
      </c>
      <c r="D50">
        <v>144.68637038684</v>
      </c>
    </row>
    <row r="51" spans="1:4" x14ac:dyDescent="0.3">
      <c r="A51">
        <v>1992</v>
      </c>
      <c r="B51" t="s">
        <v>120</v>
      </c>
      <c r="C51">
        <v>50</v>
      </c>
      <c r="D51">
        <v>151.30959962100701</v>
      </c>
    </row>
    <row r="52" spans="1:4" x14ac:dyDescent="0.3">
      <c r="A52">
        <v>1992</v>
      </c>
      <c r="B52" t="s">
        <v>120</v>
      </c>
      <c r="C52">
        <v>55</v>
      </c>
      <c r="D52">
        <v>176.45444218475001</v>
      </c>
    </row>
    <row r="53" spans="1:4" x14ac:dyDescent="0.3">
      <c r="A53">
        <v>1992</v>
      </c>
      <c r="B53" t="s">
        <v>120</v>
      </c>
      <c r="C53">
        <v>60</v>
      </c>
      <c r="D53">
        <v>170.14648326769299</v>
      </c>
    </row>
    <row r="54" spans="1:4" x14ac:dyDescent="0.3">
      <c r="A54">
        <v>1992</v>
      </c>
      <c r="B54" t="s">
        <v>120</v>
      </c>
      <c r="C54">
        <v>65</v>
      </c>
      <c r="D54">
        <v>158.64406912477199</v>
      </c>
    </row>
    <row r="55" spans="1:4" x14ac:dyDescent="0.3">
      <c r="A55">
        <v>1992</v>
      </c>
      <c r="B55" t="s">
        <v>120</v>
      </c>
      <c r="C55">
        <v>70</v>
      </c>
      <c r="D55">
        <v>190.28216176091101</v>
      </c>
    </row>
    <row r="56" spans="1:4" x14ac:dyDescent="0.3">
      <c r="A56">
        <v>1992</v>
      </c>
      <c r="B56" t="s">
        <v>120</v>
      </c>
      <c r="C56">
        <v>75</v>
      </c>
      <c r="D56">
        <v>154.037940473118</v>
      </c>
    </row>
    <row r="57" spans="1:4" x14ac:dyDescent="0.3">
      <c r="A57">
        <v>1992</v>
      </c>
      <c r="B57" t="s">
        <v>120</v>
      </c>
      <c r="C57">
        <v>80</v>
      </c>
      <c r="D57">
        <v>215.97725197469501</v>
      </c>
    </row>
    <row r="58" spans="1:4" x14ac:dyDescent="0.3">
      <c r="A58">
        <v>1992</v>
      </c>
      <c r="B58" t="s">
        <v>120</v>
      </c>
      <c r="C58">
        <v>85</v>
      </c>
      <c r="D58">
        <v>315.40747456746499</v>
      </c>
    </row>
    <row r="59" spans="1:4" x14ac:dyDescent="0.3">
      <c r="A59">
        <v>1993</v>
      </c>
      <c r="B59" t="s">
        <v>120</v>
      </c>
      <c r="C59">
        <v>0</v>
      </c>
      <c r="D59">
        <v>545.14542616731205</v>
      </c>
    </row>
    <row r="60" spans="1:4" x14ac:dyDescent="0.3">
      <c r="A60">
        <v>1993</v>
      </c>
      <c r="B60" t="s">
        <v>120</v>
      </c>
      <c r="C60">
        <v>1</v>
      </c>
      <c r="D60">
        <v>77.530922129584496</v>
      </c>
    </row>
    <row r="61" spans="1:4" x14ac:dyDescent="0.3">
      <c r="A61">
        <v>1993</v>
      </c>
      <c r="B61" t="s">
        <v>120</v>
      </c>
      <c r="C61">
        <v>5</v>
      </c>
      <c r="D61">
        <v>29.1897120859804</v>
      </c>
    </row>
    <row r="62" spans="1:4" x14ac:dyDescent="0.3">
      <c r="A62">
        <v>1993</v>
      </c>
      <c r="B62" t="s">
        <v>120</v>
      </c>
      <c r="C62">
        <v>10</v>
      </c>
      <c r="D62">
        <v>41.268213638799899</v>
      </c>
    </row>
    <row r="63" spans="1:4" x14ac:dyDescent="0.3">
      <c r="A63">
        <v>1993</v>
      </c>
      <c r="B63" t="s">
        <v>120</v>
      </c>
      <c r="C63">
        <v>15</v>
      </c>
      <c r="D63">
        <v>85.5560526658046</v>
      </c>
    </row>
    <row r="64" spans="1:4" x14ac:dyDescent="0.3">
      <c r="A64">
        <v>1993</v>
      </c>
      <c r="B64" t="s">
        <v>120</v>
      </c>
      <c r="C64">
        <v>20</v>
      </c>
      <c r="D64">
        <v>79.516801889394898</v>
      </c>
    </row>
    <row r="65" spans="1:4" x14ac:dyDescent="0.3">
      <c r="A65">
        <v>1993</v>
      </c>
      <c r="B65" t="s">
        <v>120</v>
      </c>
      <c r="C65">
        <v>25</v>
      </c>
      <c r="D65">
        <v>110.719597567512</v>
      </c>
    </row>
    <row r="66" spans="1:4" x14ac:dyDescent="0.3">
      <c r="A66">
        <v>1993</v>
      </c>
      <c r="B66" t="s">
        <v>120</v>
      </c>
      <c r="C66">
        <v>30</v>
      </c>
      <c r="D66">
        <v>97.634554218624103</v>
      </c>
    </row>
    <row r="67" spans="1:4" x14ac:dyDescent="0.3">
      <c r="A67">
        <v>1993</v>
      </c>
      <c r="B67" t="s">
        <v>120</v>
      </c>
      <c r="C67">
        <v>35</v>
      </c>
      <c r="D67">
        <v>121.791557324263</v>
      </c>
    </row>
    <row r="68" spans="1:4" x14ac:dyDescent="0.3">
      <c r="A68">
        <v>1993</v>
      </c>
      <c r="B68" t="s">
        <v>120</v>
      </c>
      <c r="C68">
        <v>40</v>
      </c>
      <c r="D68">
        <v>143.64002427075999</v>
      </c>
    </row>
    <row r="69" spans="1:4" x14ac:dyDescent="0.3">
      <c r="A69">
        <v>1993</v>
      </c>
      <c r="B69" t="s">
        <v>120</v>
      </c>
      <c r="C69">
        <v>45</v>
      </c>
      <c r="D69">
        <v>132.86351708101401</v>
      </c>
    </row>
    <row r="70" spans="1:4" x14ac:dyDescent="0.3">
      <c r="A70">
        <v>1993</v>
      </c>
      <c r="B70" t="s">
        <v>120</v>
      </c>
      <c r="C70">
        <v>50</v>
      </c>
      <c r="D70">
        <v>164.06631275913099</v>
      </c>
    </row>
    <row r="71" spans="1:4" x14ac:dyDescent="0.3">
      <c r="A71">
        <v>1993</v>
      </c>
      <c r="B71" t="s">
        <v>120</v>
      </c>
      <c r="C71">
        <v>55</v>
      </c>
      <c r="D71">
        <v>129.843891692809</v>
      </c>
    </row>
    <row r="72" spans="1:4" x14ac:dyDescent="0.3">
      <c r="A72">
        <v>1993</v>
      </c>
      <c r="B72" t="s">
        <v>120</v>
      </c>
      <c r="C72">
        <v>60</v>
      </c>
      <c r="D72">
        <v>166.079396351268</v>
      </c>
    </row>
    <row r="73" spans="1:4" x14ac:dyDescent="0.3">
      <c r="A73">
        <v>1993</v>
      </c>
      <c r="B73" t="s">
        <v>120</v>
      </c>
      <c r="C73">
        <v>65</v>
      </c>
      <c r="D73">
        <v>194.83730796260301</v>
      </c>
    </row>
    <row r="74" spans="1:4" x14ac:dyDescent="0.3">
      <c r="A74">
        <v>1993</v>
      </c>
      <c r="B74" t="s">
        <v>120</v>
      </c>
      <c r="C74">
        <v>70</v>
      </c>
      <c r="D74">
        <v>192.24948304904299</v>
      </c>
    </row>
    <row r="75" spans="1:4" x14ac:dyDescent="0.3">
      <c r="A75">
        <v>1993</v>
      </c>
      <c r="B75" t="s">
        <v>120</v>
      </c>
      <c r="C75">
        <v>75</v>
      </c>
      <c r="D75">
        <v>166.079396351268</v>
      </c>
    </row>
    <row r="76" spans="1:4" x14ac:dyDescent="0.3">
      <c r="A76">
        <v>1993</v>
      </c>
      <c r="B76" t="s">
        <v>120</v>
      </c>
      <c r="C76">
        <v>80</v>
      </c>
      <c r="D76">
        <v>195.26910843724801</v>
      </c>
    </row>
    <row r="77" spans="1:4" x14ac:dyDescent="0.3">
      <c r="A77">
        <v>1993</v>
      </c>
      <c r="B77" t="s">
        <v>120</v>
      </c>
      <c r="C77">
        <v>85</v>
      </c>
      <c r="D77">
        <v>307.44146182379501</v>
      </c>
    </row>
    <row r="78" spans="1:4" x14ac:dyDescent="0.3">
      <c r="A78" s="140">
        <v>1994</v>
      </c>
      <c r="B78" s="140" t="s">
        <v>120</v>
      </c>
      <c r="C78" s="140">
        <v>0</v>
      </c>
      <c r="D78" s="140">
        <v>518.469862579606</v>
      </c>
    </row>
    <row r="79" spans="1:4" x14ac:dyDescent="0.3">
      <c r="A79" s="140">
        <v>1994</v>
      </c>
      <c r="B79" s="140" t="s">
        <v>120</v>
      </c>
      <c r="C79" s="140">
        <v>1</v>
      </c>
      <c r="D79" s="140">
        <v>77.545991306381197</v>
      </c>
    </row>
    <row r="80" spans="1:4" x14ac:dyDescent="0.3">
      <c r="A80" s="140">
        <v>1994</v>
      </c>
      <c r="B80" s="140" t="s">
        <v>120</v>
      </c>
      <c r="C80" s="140">
        <v>5</v>
      </c>
      <c r="D80" s="140">
        <v>31.219814681789799</v>
      </c>
    </row>
    <row r="81" spans="1:4" x14ac:dyDescent="0.3">
      <c r="A81" s="140">
        <v>1994</v>
      </c>
      <c r="B81" s="140" t="s">
        <v>120</v>
      </c>
      <c r="C81" s="140">
        <v>10</v>
      </c>
      <c r="D81" s="140">
        <v>32.226905477976601</v>
      </c>
    </row>
    <row r="82" spans="1:4" x14ac:dyDescent="0.3">
      <c r="A82" s="140">
        <v>1994</v>
      </c>
      <c r="B82" s="140" t="s">
        <v>120</v>
      </c>
      <c r="C82" s="140">
        <v>15</v>
      </c>
      <c r="D82" s="140">
        <v>63.4467201597665</v>
      </c>
    </row>
    <row r="83" spans="1:4" x14ac:dyDescent="0.3">
      <c r="A83" s="140">
        <v>1994</v>
      </c>
      <c r="B83" s="140" t="s">
        <v>120</v>
      </c>
      <c r="C83" s="140">
        <v>20</v>
      </c>
      <c r="D83" s="140">
        <v>113.801259969105</v>
      </c>
    </row>
    <row r="84" spans="1:4" x14ac:dyDescent="0.3">
      <c r="A84" s="140">
        <v>1994</v>
      </c>
      <c r="B84" s="140" t="s">
        <v>120</v>
      </c>
      <c r="C84" s="140">
        <v>25</v>
      </c>
      <c r="D84" s="140">
        <v>119.60838092374</v>
      </c>
    </row>
    <row r="85" spans="1:4" x14ac:dyDescent="0.3">
      <c r="A85" s="140">
        <v>1994</v>
      </c>
      <c r="B85" s="140" t="s">
        <v>120</v>
      </c>
      <c r="C85" s="140">
        <v>30</v>
      </c>
      <c r="D85" s="140">
        <v>121.85798633859901</v>
      </c>
    </row>
    <row r="86" spans="1:4" x14ac:dyDescent="0.3">
      <c r="A86" s="140">
        <v>1994</v>
      </c>
      <c r="B86" s="140" t="s">
        <v>120</v>
      </c>
      <c r="C86" s="140">
        <v>35</v>
      </c>
      <c r="D86" s="140">
        <v>132.93598509665401</v>
      </c>
    </row>
    <row r="87" spans="1:4" x14ac:dyDescent="0.3">
      <c r="A87" s="140">
        <v>1994</v>
      </c>
      <c r="B87" s="140" t="s">
        <v>120</v>
      </c>
      <c r="C87" s="140">
        <v>40</v>
      </c>
      <c r="D87" s="140">
        <v>140.99271146614799</v>
      </c>
    </row>
    <row r="88" spans="1:4" x14ac:dyDescent="0.3">
      <c r="A88" s="140">
        <v>1994</v>
      </c>
      <c r="B88" s="140" t="s">
        <v>120</v>
      </c>
      <c r="C88" s="140">
        <v>45</v>
      </c>
      <c r="D88" s="140">
        <v>136.96434828140099</v>
      </c>
    </row>
    <row r="89" spans="1:4" x14ac:dyDescent="0.3">
      <c r="A89" s="140">
        <v>1994</v>
      </c>
      <c r="B89" s="140" t="s">
        <v>120</v>
      </c>
      <c r="C89" s="140">
        <v>50</v>
      </c>
      <c r="D89" s="140">
        <v>156.09907340894901</v>
      </c>
    </row>
    <row r="90" spans="1:4" x14ac:dyDescent="0.3">
      <c r="A90" s="140">
        <v>1994</v>
      </c>
      <c r="B90" s="140" t="s">
        <v>120</v>
      </c>
      <c r="C90" s="140">
        <v>55</v>
      </c>
      <c r="D90" s="140">
        <v>145.021074650895</v>
      </c>
    </row>
    <row r="91" spans="1:4" x14ac:dyDescent="0.3">
      <c r="A91" s="140">
        <v>1994</v>
      </c>
      <c r="B91" s="140" t="s">
        <v>120</v>
      </c>
      <c r="C91" s="140">
        <v>60</v>
      </c>
      <c r="D91" s="140">
        <v>168.18416296319</v>
      </c>
    </row>
    <row r="92" spans="1:4" x14ac:dyDescent="0.3">
      <c r="A92" s="140">
        <v>1994</v>
      </c>
      <c r="B92" s="140" t="s">
        <v>120</v>
      </c>
      <c r="C92" s="140">
        <v>65</v>
      </c>
      <c r="D92" s="140">
        <v>185.30470649836599</v>
      </c>
    </row>
    <row r="93" spans="1:4" x14ac:dyDescent="0.3">
      <c r="A93" s="140">
        <v>1994</v>
      </c>
      <c r="B93" s="140" t="s">
        <v>120</v>
      </c>
      <c r="C93" s="140">
        <v>70</v>
      </c>
      <c r="D93" s="140">
        <v>198.396886848794</v>
      </c>
    </row>
    <row r="94" spans="1:4" x14ac:dyDescent="0.3">
      <c r="A94" s="140">
        <v>1994</v>
      </c>
      <c r="B94" s="140" t="s">
        <v>120</v>
      </c>
      <c r="C94" s="140">
        <v>75</v>
      </c>
      <c r="D94" s="140">
        <v>143.006893058521</v>
      </c>
    </row>
    <row r="95" spans="1:4" x14ac:dyDescent="0.3">
      <c r="A95" s="140">
        <v>1994</v>
      </c>
      <c r="B95" s="140" t="s">
        <v>120</v>
      </c>
      <c r="C95" s="140">
        <v>80</v>
      </c>
      <c r="D95" s="140">
        <v>195.37561446023301</v>
      </c>
    </row>
    <row r="96" spans="1:4" x14ac:dyDescent="0.3">
      <c r="A96" s="140">
        <v>1994</v>
      </c>
      <c r="B96" s="140" t="s">
        <v>120</v>
      </c>
      <c r="C96" s="140">
        <v>85</v>
      </c>
      <c r="D96" s="140">
        <v>302.127238856031</v>
      </c>
    </row>
    <row r="97" spans="1:4" x14ac:dyDescent="0.3">
      <c r="A97">
        <v>1995</v>
      </c>
      <c r="B97" t="s">
        <v>120</v>
      </c>
      <c r="C97">
        <v>0</v>
      </c>
      <c r="D97">
        <v>552.40997310008004</v>
      </c>
    </row>
    <row r="98" spans="1:4" x14ac:dyDescent="0.3">
      <c r="A98">
        <v>1995</v>
      </c>
      <c r="B98" t="s">
        <v>120</v>
      </c>
      <c r="C98">
        <v>1</v>
      </c>
      <c r="D98">
        <v>89.552800739357295</v>
      </c>
    </row>
    <row r="99" spans="1:4" x14ac:dyDescent="0.3">
      <c r="A99">
        <v>1995</v>
      </c>
      <c r="B99" t="s">
        <v>120</v>
      </c>
      <c r="C99">
        <v>5</v>
      </c>
      <c r="D99">
        <v>40.2484497704977</v>
      </c>
    </row>
    <row r="100" spans="1:4" x14ac:dyDescent="0.3">
      <c r="A100">
        <v>1995</v>
      </c>
      <c r="B100" t="s">
        <v>120</v>
      </c>
      <c r="C100">
        <v>10</v>
      </c>
      <c r="D100">
        <v>42.260872259022499</v>
      </c>
    </row>
    <row r="101" spans="1:4" x14ac:dyDescent="0.3">
      <c r="A101">
        <v>1995</v>
      </c>
      <c r="B101" t="s">
        <v>120</v>
      </c>
      <c r="C101">
        <v>15</v>
      </c>
      <c r="D101">
        <v>71.440998342633307</v>
      </c>
    </row>
    <row r="102" spans="1:4" x14ac:dyDescent="0.3">
      <c r="A102">
        <v>1995</v>
      </c>
      <c r="B102" t="s">
        <v>120</v>
      </c>
      <c r="C102">
        <v>20</v>
      </c>
      <c r="D102">
        <v>97.602490693456801</v>
      </c>
    </row>
    <row r="103" spans="1:4" x14ac:dyDescent="0.3">
      <c r="A103">
        <v>1995</v>
      </c>
      <c r="B103" t="s">
        <v>120</v>
      </c>
      <c r="C103">
        <v>25</v>
      </c>
      <c r="D103">
        <v>113.701870601656</v>
      </c>
    </row>
    <row r="104" spans="1:4" x14ac:dyDescent="0.3">
      <c r="A104">
        <v>1995</v>
      </c>
      <c r="B104" t="s">
        <v>120</v>
      </c>
      <c r="C104">
        <v>30</v>
      </c>
      <c r="D104">
        <v>117.72671557870601</v>
      </c>
    </row>
    <row r="105" spans="1:4" x14ac:dyDescent="0.3">
      <c r="A105">
        <v>1995</v>
      </c>
      <c r="B105" t="s">
        <v>120</v>
      </c>
      <c r="C105">
        <v>35</v>
      </c>
      <c r="D105">
        <v>137.850940463954</v>
      </c>
    </row>
    <row r="106" spans="1:4" x14ac:dyDescent="0.3">
      <c r="A106">
        <v>1995</v>
      </c>
      <c r="B106" t="s">
        <v>120</v>
      </c>
      <c r="C106">
        <v>40</v>
      </c>
      <c r="D106">
        <v>138.857151708217</v>
      </c>
    </row>
    <row r="107" spans="1:4" x14ac:dyDescent="0.3">
      <c r="A107">
        <v>1995</v>
      </c>
      <c r="B107" t="s">
        <v>120</v>
      </c>
      <c r="C107">
        <v>45</v>
      </c>
      <c r="D107">
        <v>160.993799081991</v>
      </c>
    </row>
    <row r="108" spans="1:4" x14ac:dyDescent="0.3">
      <c r="A108">
        <v>1995</v>
      </c>
      <c r="B108" t="s">
        <v>120</v>
      </c>
      <c r="C108">
        <v>50</v>
      </c>
      <c r="D108">
        <v>155.96274286067799</v>
      </c>
    </row>
    <row r="109" spans="1:4" x14ac:dyDescent="0.3">
      <c r="A109">
        <v>1995</v>
      </c>
      <c r="B109" t="s">
        <v>120</v>
      </c>
      <c r="C109">
        <v>55</v>
      </c>
      <c r="D109">
        <v>146.906841662316</v>
      </c>
    </row>
    <row r="110" spans="1:4" x14ac:dyDescent="0.3">
      <c r="A110">
        <v>1995</v>
      </c>
      <c r="B110" t="s">
        <v>120</v>
      </c>
      <c r="C110">
        <v>60</v>
      </c>
      <c r="D110">
        <v>189.71602613560401</v>
      </c>
    </row>
    <row r="111" spans="1:4" x14ac:dyDescent="0.3">
      <c r="A111">
        <v>1995</v>
      </c>
      <c r="B111" t="s">
        <v>120</v>
      </c>
      <c r="C111">
        <v>65</v>
      </c>
      <c r="D111">
        <v>186.14908018855201</v>
      </c>
    </row>
    <row r="112" spans="1:4" x14ac:dyDescent="0.3">
      <c r="A112">
        <v>1995</v>
      </c>
      <c r="B112" t="s">
        <v>120</v>
      </c>
      <c r="C112">
        <v>70</v>
      </c>
      <c r="D112">
        <v>212.31057253937499</v>
      </c>
    </row>
    <row r="113" spans="1:4" x14ac:dyDescent="0.3">
      <c r="A113">
        <v>1995</v>
      </c>
      <c r="B113" t="s">
        <v>120</v>
      </c>
      <c r="C113">
        <v>75</v>
      </c>
      <c r="D113">
        <v>204.26088258527599</v>
      </c>
    </row>
    <row r="114" spans="1:4" x14ac:dyDescent="0.3">
      <c r="A114">
        <v>1995</v>
      </c>
      <c r="B114" t="s">
        <v>120</v>
      </c>
      <c r="C114">
        <v>80</v>
      </c>
      <c r="D114">
        <v>204.26088258527599</v>
      </c>
    </row>
    <row r="115" spans="1:4" x14ac:dyDescent="0.3">
      <c r="A115">
        <v>1995</v>
      </c>
      <c r="B115" t="s">
        <v>120</v>
      </c>
      <c r="C115">
        <v>85</v>
      </c>
      <c r="D115">
        <v>377.75365891180002</v>
      </c>
    </row>
    <row r="116" spans="1:4" x14ac:dyDescent="0.3">
      <c r="A116">
        <v>1996</v>
      </c>
      <c r="B116" t="s">
        <v>120</v>
      </c>
      <c r="C116">
        <v>0</v>
      </c>
      <c r="D116">
        <v>507.686669412161</v>
      </c>
    </row>
    <row r="117" spans="1:4" x14ac:dyDescent="0.3">
      <c r="A117">
        <v>1996</v>
      </c>
      <c r="B117" t="s">
        <v>120</v>
      </c>
      <c r="C117">
        <v>1</v>
      </c>
      <c r="D117">
        <v>98.890876382428999</v>
      </c>
    </row>
    <row r="118" spans="1:4" x14ac:dyDescent="0.3">
      <c r="A118">
        <v>1996</v>
      </c>
      <c r="B118" t="s">
        <v>120</v>
      </c>
      <c r="C118">
        <v>5</v>
      </c>
      <c r="D118">
        <v>36.3272607119127</v>
      </c>
    </row>
    <row r="119" spans="1:4" x14ac:dyDescent="0.3">
      <c r="A119">
        <v>1996</v>
      </c>
      <c r="B119" t="s">
        <v>120</v>
      </c>
      <c r="C119">
        <v>10</v>
      </c>
      <c r="D119">
        <v>31.281807835258199</v>
      </c>
    </row>
    <row r="120" spans="1:4" x14ac:dyDescent="0.3">
      <c r="A120">
        <v>1996</v>
      </c>
      <c r="B120" t="s">
        <v>120</v>
      </c>
      <c r="C120">
        <v>15</v>
      </c>
      <c r="D120">
        <v>60.545434519854503</v>
      </c>
    </row>
    <row r="121" spans="1:4" x14ac:dyDescent="0.3">
      <c r="A121">
        <v>1996</v>
      </c>
      <c r="B121" t="s">
        <v>120</v>
      </c>
      <c r="C121">
        <v>20</v>
      </c>
      <c r="D121">
        <v>102.927238683753</v>
      </c>
    </row>
    <row r="122" spans="1:4" x14ac:dyDescent="0.3">
      <c r="A122">
        <v>1996</v>
      </c>
      <c r="B122" t="s">
        <v>120</v>
      </c>
      <c r="C122">
        <v>25</v>
      </c>
      <c r="D122">
        <v>107.972691560407</v>
      </c>
    </row>
    <row r="123" spans="1:4" x14ac:dyDescent="0.3">
      <c r="A123">
        <v>1996</v>
      </c>
      <c r="B123" t="s">
        <v>120</v>
      </c>
      <c r="C123">
        <v>30</v>
      </c>
      <c r="D123">
        <v>101.918148108422</v>
      </c>
    </row>
    <row r="124" spans="1:4" x14ac:dyDescent="0.3">
      <c r="A124">
        <v>1996</v>
      </c>
      <c r="B124" t="s">
        <v>120</v>
      </c>
      <c r="C124">
        <v>35</v>
      </c>
      <c r="D124">
        <v>114.02723501239301</v>
      </c>
    </row>
    <row r="125" spans="1:4" x14ac:dyDescent="0.3">
      <c r="A125">
        <v>1996</v>
      </c>
      <c r="B125" t="s">
        <v>120</v>
      </c>
      <c r="C125">
        <v>40</v>
      </c>
      <c r="D125">
        <v>127.145412491694</v>
      </c>
    </row>
    <row r="126" spans="1:4" x14ac:dyDescent="0.3">
      <c r="A126">
        <v>1996</v>
      </c>
      <c r="B126" t="s">
        <v>120</v>
      </c>
      <c r="C126">
        <v>45</v>
      </c>
      <c r="D126">
        <v>138.24540882033401</v>
      </c>
    </row>
    <row r="127" spans="1:4" x14ac:dyDescent="0.3">
      <c r="A127">
        <v>1996</v>
      </c>
      <c r="B127" t="s">
        <v>120</v>
      </c>
      <c r="C127">
        <v>50</v>
      </c>
      <c r="D127">
        <v>134.209046519011</v>
      </c>
    </row>
    <row r="128" spans="1:4" x14ac:dyDescent="0.3">
      <c r="A128">
        <v>1996</v>
      </c>
      <c r="B128" t="s">
        <v>120</v>
      </c>
      <c r="C128">
        <v>55</v>
      </c>
      <c r="D128">
        <v>163.472673203607</v>
      </c>
    </row>
    <row r="129" spans="1:4" x14ac:dyDescent="0.3">
      <c r="A129">
        <v>1996</v>
      </c>
      <c r="B129" t="s">
        <v>120</v>
      </c>
      <c r="C129">
        <v>60</v>
      </c>
      <c r="D129">
        <v>166.49994492959999</v>
      </c>
    </row>
    <row r="130" spans="1:4" x14ac:dyDescent="0.3">
      <c r="A130">
        <v>1996</v>
      </c>
      <c r="B130" t="s">
        <v>120</v>
      </c>
      <c r="C130">
        <v>65</v>
      </c>
      <c r="D130">
        <v>207.87265851816699</v>
      </c>
    </row>
    <row r="131" spans="1:4" x14ac:dyDescent="0.3">
      <c r="A131">
        <v>1996</v>
      </c>
      <c r="B131" t="s">
        <v>120</v>
      </c>
      <c r="C131">
        <v>70</v>
      </c>
      <c r="D131">
        <v>188.69993758688</v>
      </c>
    </row>
    <row r="132" spans="1:4" x14ac:dyDescent="0.3">
      <c r="A132">
        <v>1996</v>
      </c>
      <c r="B132" t="s">
        <v>120</v>
      </c>
      <c r="C132">
        <v>75</v>
      </c>
      <c r="D132">
        <v>197.781752764858</v>
      </c>
    </row>
    <row r="133" spans="1:4" x14ac:dyDescent="0.3">
      <c r="A133">
        <v>1996</v>
      </c>
      <c r="B133" t="s">
        <v>120</v>
      </c>
      <c r="C133">
        <v>80</v>
      </c>
      <c r="D133">
        <v>188.69993758688</v>
      </c>
    </row>
    <row r="134" spans="1:4" x14ac:dyDescent="0.3">
      <c r="A134">
        <v>1996</v>
      </c>
      <c r="B134" t="s">
        <v>120</v>
      </c>
      <c r="C134">
        <v>85</v>
      </c>
      <c r="D134">
        <v>433.908947392291</v>
      </c>
    </row>
    <row r="135" spans="1:4" x14ac:dyDescent="0.3">
      <c r="A135">
        <v>1997</v>
      </c>
      <c r="B135" t="s">
        <v>120</v>
      </c>
      <c r="C135">
        <v>0</v>
      </c>
      <c r="D135">
        <v>467.25961170272302</v>
      </c>
    </row>
    <row r="136" spans="1:4" x14ac:dyDescent="0.3">
      <c r="A136">
        <v>1997</v>
      </c>
      <c r="B136" t="s">
        <v>120</v>
      </c>
      <c r="C136">
        <v>1</v>
      </c>
      <c r="D136">
        <v>72.404733728302205</v>
      </c>
    </row>
    <row r="137" spans="1:4" x14ac:dyDescent="0.3">
      <c r="A137">
        <v>1997</v>
      </c>
      <c r="B137" t="s">
        <v>120</v>
      </c>
      <c r="C137">
        <v>5</v>
      </c>
      <c r="D137">
        <v>38.213609467715003</v>
      </c>
    </row>
    <row r="138" spans="1:4" x14ac:dyDescent="0.3">
      <c r="A138">
        <v>1997</v>
      </c>
      <c r="B138" t="s">
        <v>120</v>
      </c>
      <c r="C138">
        <v>10</v>
      </c>
      <c r="D138">
        <v>37.207988165933102</v>
      </c>
    </row>
    <row r="139" spans="1:4" x14ac:dyDescent="0.3">
      <c r="A139">
        <v>1997</v>
      </c>
      <c r="B139" t="s">
        <v>120</v>
      </c>
      <c r="C139">
        <v>15</v>
      </c>
      <c r="D139">
        <v>71.399112426520205</v>
      </c>
    </row>
    <row r="140" spans="1:4" x14ac:dyDescent="0.3">
      <c r="A140">
        <v>1997</v>
      </c>
      <c r="B140" t="s">
        <v>120</v>
      </c>
      <c r="C140">
        <v>20</v>
      </c>
      <c r="D140">
        <v>117.65769230849099</v>
      </c>
    </row>
    <row r="141" spans="1:4" x14ac:dyDescent="0.3">
      <c r="A141">
        <v>1997</v>
      </c>
      <c r="B141" t="s">
        <v>120</v>
      </c>
      <c r="C141">
        <v>25</v>
      </c>
      <c r="D141">
        <v>97.545266272851507</v>
      </c>
    </row>
    <row r="142" spans="1:4" x14ac:dyDescent="0.3">
      <c r="A142">
        <v>1997</v>
      </c>
      <c r="B142" t="s">
        <v>120</v>
      </c>
      <c r="C142">
        <v>30</v>
      </c>
      <c r="D142">
        <v>103.57899408354299</v>
      </c>
    </row>
    <row r="143" spans="1:4" x14ac:dyDescent="0.3">
      <c r="A143">
        <v>1997</v>
      </c>
      <c r="B143" t="s">
        <v>120</v>
      </c>
      <c r="C143">
        <v>35</v>
      </c>
      <c r="D143">
        <v>122.68579881740099</v>
      </c>
    </row>
    <row r="144" spans="1:4" x14ac:dyDescent="0.3">
      <c r="A144">
        <v>1997</v>
      </c>
      <c r="B144" t="s">
        <v>120</v>
      </c>
      <c r="C144">
        <v>40</v>
      </c>
      <c r="D144">
        <v>119.66893491205499</v>
      </c>
    </row>
    <row r="145" spans="1:4" x14ac:dyDescent="0.3">
      <c r="A145">
        <v>1997</v>
      </c>
      <c r="B145" t="s">
        <v>120</v>
      </c>
      <c r="C145">
        <v>45</v>
      </c>
      <c r="D145">
        <v>148.83195266373201</v>
      </c>
    </row>
    <row r="146" spans="1:4" x14ac:dyDescent="0.3">
      <c r="A146">
        <v>1997</v>
      </c>
      <c r="B146" t="s">
        <v>120</v>
      </c>
      <c r="C146">
        <v>50</v>
      </c>
      <c r="D146">
        <v>159.893786983334</v>
      </c>
    </row>
    <row r="147" spans="1:4" x14ac:dyDescent="0.3">
      <c r="A147">
        <v>1997</v>
      </c>
      <c r="B147" t="s">
        <v>120</v>
      </c>
      <c r="C147">
        <v>55</v>
      </c>
      <c r="D147">
        <v>175.98372781184599</v>
      </c>
    </row>
    <row r="148" spans="1:4" x14ac:dyDescent="0.3">
      <c r="A148">
        <v>1997</v>
      </c>
      <c r="B148" t="s">
        <v>120</v>
      </c>
      <c r="C148">
        <v>60</v>
      </c>
      <c r="D148">
        <v>161.905029586898</v>
      </c>
    </row>
    <row r="149" spans="1:4" x14ac:dyDescent="0.3">
      <c r="A149">
        <v>1997</v>
      </c>
      <c r="B149" t="s">
        <v>120</v>
      </c>
      <c r="C149">
        <v>65</v>
      </c>
      <c r="D149">
        <v>209.16923077065101</v>
      </c>
    </row>
    <row r="150" spans="1:4" x14ac:dyDescent="0.3">
      <c r="A150">
        <v>1997</v>
      </c>
      <c r="B150" t="s">
        <v>120</v>
      </c>
      <c r="C150">
        <v>70</v>
      </c>
      <c r="D150">
        <v>230.287278108072</v>
      </c>
    </row>
    <row r="151" spans="1:4" x14ac:dyDescent="0.3">
      <c r="A151">
        <v>1997</v>
      </c>
      <c r="B151" t="s">
        <v>120</v>
      </c>
      <c r="C151">
        <v>75</v>
      </c>
      <c r="D151">
        <v>226.264792900944</v>
      </c>
    </row>
    <row r="152" spans="1:4" x14ac:dyDescent="0.3">
      <c r="A152">
        <v>1997</v>
      </c>
      <c r="B152" t="s">
        <v>120</v>
      </c>
      <c r="C152">
        <v>80</v>
      </c>
      <c r="D152">
        <v>209.16923077065101</v>
      </c>
    </row>
    <row r="153" spans="1:4" x14ac:dyDescent="0.3">
      <c r="A153">
        <v>1997</v>
      </c>
      <c r="B153" t="s">
        <v>120</v>
      </c>
      <c r="C153">
        <v>85</v>
      </c>
      <c r="D153">
        <v>396.214792902098</v>
      </c>
    </row>
    <row r="154" spans="1:4" x14ac:dyDescent="0.3">
      <c r="A154">
        <v>1998</v>
      </c>
      <c r="B154" t="s">
        <v>120</v>
      </c>
      <c r="C154">
        <v>0</v>
      </c>
      <c r="D154">
        <v>414.00876820533</v>
      </c>
    </row>
    <row r="155" spans="1:4" x14ac:dyDescent="0.3">
      <c r="A155">
        <v>1998</v>
      </c>
      <c r="B155" t="s">
        <v>120</v>
      </c>
      <c r="C155">
        <v>1</v>
      </c>
      <c r="D155">
        <v>73.421627797653798</v>
      </c>
    </row>
    <row r="156" spans="1:4" x14ac:dyDescent="0.3">
      <c r="A156">
        <v>1998</v>
      </c>
      <c r="B156" t="s">
        <v>120</v>
      </c>
      <c r="C156">
        <v>5</v>
      </c>
      <c r="D156">
        <v>36.207926037199101</v>
      </c>
    </row>
    <row r="157" spans="1:4" x14ac:dyDescent="0.3">
      <c r="A157">
        <v>1998</v>
      </c>
      <c r="B157" t="s">
        <v>120</v>
      </c>
      <c r="C157">
        <v>10</v>
      </c>
      <c r="D157">
        <v>41.236804653476803</v>
      </c>
    </row>
    <row r="158" spans="1:4" x14ac:dyDescent="0.3">
      <c r="A158">
        <v>1998</v>
      </c>
      <c r="B158" t="s">
        <v>120</v>
      </c>
      <c r="C158">
        <v>15</v>
      </c>
      <c r="D158">
        <v>86.496712199975605</v>
      </c>
    </row>
    <row r="159" spans="1:4" x14ac:dyDescent="0.3">
      <c r="A159">
        <v>1998</v>
      </c>
      <c r="B159" t="s">
        <v>120</v>
      </c>
      <c r="C159">
        <v>20</v>
      </c>
      <c r="D159">
        <v>102.589123772064</v>
      </c>
    </row>
    <row r="160" spans="1:4" x14ac:dyDescent="0.3">
      <c r="A160">
        <v>1998</v>
      </c>
      <c r="B160" t="s">
        <v>120</v>
      </c>
      <c r="C160">
        <v>25</v>
      </c>
      <c r="D160">
        <v>119.687311067408</v>
      </c>
    </row>
    <row r="161" spans="1:4" x14ac:dyDescent="0.3">
      <c r="A161">
        <v>1998</v>
      </c>
      <c r="B161" t="s">
        <v>120</v>
      </c>
      <c r="C161">
        <v>30</v>
      </c>
      <c r="D161">
        <v>128.73929257670801</v>
      </c>
    </row>
    <row r="162" spans="1:4" x14ac:dyDescent="0.3">
      <c r="A162">
        <v>1998</v>
      </c>
      <c r="B162" t="s">
        <v>120</v>
      </c>
      <c r="C162">
        <v>35</v>
      </c>
      <c r="D162">
        <v>143.82592842554101</v>
      </c>
    </row>
    <row r="163" spans="1:4" x14ac:dyDescent="0.3">
      <c r="A163">
        <v>1998</v>
      </c>
      <c r="B163" t="s">
        <v>120</v>
      </c>
      <c r="C163">
        <v>40</v>
      </c>
      <c r="D163">
        <v>168.970321506929</v>
      </c>
    </row>
    <row r="164" spans="1:4" x14ac:dyDescent="0.3">
      <c r="A164">
        <v>1998</v>
      </c>
      <c r="B164" t="s">
        <v>120</v>
      </c>
      <c r="C164">
        <v>45</v>
      </c>
      <c r="D164">
        <v>156.90101282786301</v>
      </c>
    </row>
    <row r="165" spans="1:4" x14ac:dyDescent="0.3">
      <c r="A165">
        <v>1998</v>
      </c>
      <c r="B165" t="s">
        <v>120</v>
      </c>
      <c r="C165">
        <v>50</v>
      </c>
      <c r="D165">
        <v>162.93566716739599</v>
      </c>
    </row>
    <row r="166" spans="1:4" x14ac:dyDescent="0.3">
      <c r="A166">
        <v>1998</v>
      </c>
      <c r="B166" t="s">
        <v>120</v>
      </c>
      <c r="C166">
        <v>55</v>
      </c>
      <c r="D166">
        <v>204.172471820873</v>
      </c>
    </row>
    <row r="167" spans="1:4" x14ac:dyDescent="0.3">
      <c r="A167">
        <v>1998</v>
      </c>
      <c r="B167" t="s">
        <v>120</v>
      </c>
      <c r="C167">
        <v>60</v>
      </c>
      <c r="D167">
        <v>209.20135043715001</v>
      </c>
    </row>
    <row r="168" spans="1:4" x14ac:dyDescent="0.3">
      <c r="A168">
        <v>1998</v>
      </c>
      <c r="B168" t="s">
        <v>120</v>
      </c>
      <c r="C168">
        <v>65</v>
      </c>
      <c r="D168">
        <v>203.16669609761701</v>
      </c>
    </row>
    <row r="169" spans="1:4" x14ac:dyDescent="0.3">
      <c r="A169">
        <v>1998</v>
      </c>
      <c r="B169" t="s">
        <v>120</v>
      </c>
      <c r="C169">
        <v>70</v>
      </c>
      <c r="D169">
        <v>246.41505219760501</v>
      </c>
    </row>
    <row r="170" spans="1:4" x14ac:dyDescent="0.3">
      <c r="A170">
        <v>1998</v>
      </c>
      <c r="B170" t="s">
        <v>120</v>
      </c>
      <c r="C170">
        <v>75</v>
      </c>
      <c r="D170">
        <v>234.345743518539</v>
      </c>
    </row>
    <row r="171" spans="1:4" x14ac:dyDescent="0.3">
      <c r="A171">
        <v>1998</v>
      </c>
      <c r="B171" t="s">
        <v>120</v>
      </c>
      <c r="C171">
        <v>80</v>
      </c>
      <c r="D171">
        <v>209.20135043715001</v>
      </c>
    </row>
    <row r="172" spans="1:4" x14ac:dyDescent="0.3">
      <c r="A172">
        <v>1998</v>
      </c>
      <c r="B172" t="s">
        <v>120</v>
      </c>
      <c r="C172">
        <v>85</v>
      </c>
      <c r="D172">
        <v>367.10813898826899</v>
      </c>
    </row>
    <row r="173" spans="1:4" x14ac:dyDescent="0.3">
      <c r="A173">
        <v>1999</v>
      </c>
      <c r="B173" t="s">
        <v>120</v>
      </c>
      <c r="C173">
        <v>0</v>
      </c>
      <c r="D173">
        <v>408.47138038607699</v>
      </c>
    </row>
    <row r="174" spans="1:4" x14ac:dyDescent="0.3">
      <c r="A174">
        <v>1999</v>
      </c>
      <c r="B174" t="s">
        <v>120</v>
      </c>
      <c r="C174">
        <v>1</v>
      </c>
      <c r="D174">
        <v>67.621660287628004</v>
      </c>
    </row>
    <row r="175" spans="1:4" x14ac:dyDescent="0.3">
      <c r="A175">
        <v>1999</v>
      </c>
      <c r="B175" t="s">
        <v>120</v>
      </c>
      <c r="C175">
        <v>5</v>
      </c>
      <c r="D175">
        <v>25.231962793891</v>
      </c>
    </row>
    <row r="176" spans="1:4" x14ac:dyDescent="0.3">
      <c r="A176">
        <v>1999</v>
      </c>
      <c r="B176" t="s">
        <v>120</v>
      </c>
      <c r="C176">
        <v>10</v>
      </c>
      <c r="D176">
        <v>38.352583446714398</v>
      </c>
    </row>
    <row r="177" spans="1:4" x14ac:dyDescent="0.3">
      <c r="A177">
        <v>1999</v>
      </c>
      <c r="B177" t="s">
        <v>120</v>
      </c>
      <c r="C177">
        <v>15</v>
      </c>
      <c r="D177">
        <v>74.686609869917504</v>
      </c>
    </row>
    <row r="178" spans="1:4" x14ac:dyDescent="0.3">
      <c r="A178">
        <v>1999</v>
      </c>
      <c r="B178" t="s">
        <v>120</v>
      </c>
      <c r="C178">
        <v>20</v>
      </c>
      <c r="D178">
        <v>86.797952010985199</v>
      </c>
    </row>
    <row r="179" spans="1:4" x14ac:dyDescent="0.3">
      <c r="A179">
        <v>1999</v>
      </c>
      <c r="B179" t="s">
        <v>120</v>
      </c>
      <c r="C179">
        <v>25</v>
      </c>
      <c r="D179">
        <v>105.974243734342</v>
      </c>
    </row>
    <row r="180" spans="1:4" x14ac:dyDescent="0.3">
      <c r="A180">
        <v>1999</v>
      </c>
      <c r="B180" t="s">
        <v>120</v>
      </c>
      <c r="C180">
        <v>30</v>
      </c>
      <c r="D180">
        <v>115.057750340143</v>
      </c>
    </row>
    <row r="181" spans="1:4" x14ac:dyDescent="0.3">
      <c r="A181">
        <v>1999</v>
      </c>
      <c r="B181" t="s">
        <v>120</v>
      </c>
      <c r="C181">
        <v>35</v>
      </c>
      <c r="D181">
        <v>162.493840392658</v>
      </c>
    </row>
    <row r="182" spans="1:4" x14ac:dyDescent="0.3">
      <c r="A182">
        <v>1999</v>
      </c>
      <c r="B182" t="s">
        <v>120</v>
      </c>
      <c r="C182">
        <v>40</v>
      </c>
      <c r="D182">
        <v>148.363941228079</v>
      </c>
    </row>
    <row r="183" spans="1:4" x14ac:dyDescent="0.3">
      <c r="A183">
        <v>1999</v>
      </c>
      <c r="B183" t="s">
        <v>120</v>
      </c>
      <c r="C183">
        <v>45</v>
      </c>
      <c r="D183">
        <v>178.64229658074899</v>
      </c>
    </row>
    <row r="184" spans="1:4" x14ac:dyDescent="0.3">
      <c r="A184">
        <v>1999</v>
      </c>
      <c r="B184" t="s">
        <v>120</v>
      </c>
      <c r="C184">
        <v>50</v>
      </c>
      <c r="D184">
        <v>154.419612298613</v>
      </c>
    </row>
    <row r="185" spans="1:4" x14ac:dyDescent="0.3">
      <c r="A185">
        <v>1999</v>
      </c>
      <c r="B185" t="s">
        <v>120</v>
      </c>
      <c r="C185">
        <v>55</v>
      </c>
      <c r="D185">
        <v>215.985601515707</v>
      </c>
    </row>
    <row r="186" spans="1:4" x14ac:dyDescent="0.3">
      <c r="A186">
        <v>1999</v>
      </c>
      <c r="B186" t="s">
        <v>120</v>
      </c>
      <c r="C186">
        <v>60</v>
      </c>
      <c r="D186">
        <v>169.55878997494801</v>
      </c>
    </row>
    <row r="187" spans="1:4" x14ac:dyDescent="0.3">
      <c r="A187">
        <v>1999</v>
      </c>
      <c r="B187" t="s">
        <v>120</v>
      </c>
      <c r="C187">
        <v>65</v>
      </c>
      <c r="D187">
        <v>253.32890645066601</v>
      </c>
    </row>
    <row r="188" spans="1:4" x14ac:dyDescent="0.3">
      <c r="A188">
        <v>1999</v>
      </c>
      <c r="B188" t="s">
        <v>120</v>
      </c>
      <c r="C188">
        <v>70</v>
      </c>
      <c r="D188">
        <v>226.07838663326399</v>
      </c>
    </row>
    <row r="189" spans="1:4" x14ac:dyDescent="0.3">
      <c r="A189">
        <v>1999</v>
      </c>
      <c r="B189" t="s">
        <v>120</v>
      </c>
      <c r="C189">
        <v>75</v>
      </c>
      <c r="D189">
        <v>263.42169156822303</v>
      </c>
    </row>
    <row r="190" spans="1:4" x14ac:dyDescent="0.3">
      <c r="A190">
        <v>1999</v>
      </c>
      <c r="B190" t="s">
        <v>120</v>
      </c>
      <c r="C190">
        <v>80</v>
      </c>
      <c r="D190">
        <v>193.23337324711099</v>
      </c>
    </row>
    <row r="191" spans="1:4" x14ac:dyDescent="0.3">
      <c r="A191">
        <v>1999</v>
      </c>
      <c r="B191" t="s">
        <v>120</v>
      </c>
      <c r="C191">
        <v>85</v>
      </c>
      <c r="D191">
        <v>365.35882125554201</v>
      </c>
    </row>
    <row r="192" spans="1:4" x14ac:dyDescent="0.3">
      <c r="A192">
        <v>2000</v>
      </c>
      <c r="B192" t="s">
        <v>120</v>
      </c>
      <c r="C192">
        <v>0</v>
      </c>
      <c r="D192">
        <v>384.36473358846001</v>
      </c>
    </row>
    <row r="193" spans="1:4" x14ac:dyDescent="0.3">
      <c r="A193">
        <v>2000</v>
      </c>
      <c r="B193" t="s">
        <v>120</v>
      </c>
      <c r="C193">
        <v>1</v>
      </c>
      <c r="D193">
        <v>58.512216661760398</v>
      </c>
    </row>
    <row r="194" spans="1:4" x14ac:dyDescent="0.3">
      <c r="A194">
        <v>2000</v>
      </c>
      <c r="B194" t="s">
        <v>120</v>
      </c>
      <c r="C194">
        <v>5</v>
      </c>
      <c r="D194">
        <v>20.176626435089801</v>
      </c>
    </row>
    <row r="195" spans="1:4" x14ac:dyDescent="0.3">
      <c r="A195">
        <v>2000</v>
      </c>
      <c r="B195" t="s">
        <v>120</v>
      </c>
      <c r="C195">
        <v>10</v>
      </c>
      <c r="D195">
        <v>44.3885781571975</v>
      </c>
    </row>
    <row r="196" spans="1:4" x14ac:dyDescent="0.3">
      <c r="A196">
        <v>2000</v>
      </c>
      <c r="B196" t="s">
        <v>120</v>
      </c>
      <c r="C196">
        <v>15</v>
      </c>
      <c r="D196">
        <v>85.750662349131602</v>
      </c>
    </row>
    <row r="197" spans="1:4" x14ac:dyDescent="0.3">
      <c r="A197">
        <v>2000</v>
      </c>
      <c r="B197" t="s">
        <v>120</v>
      </c>
      <c r="C197">
        <v>20</v>
      </c>
      <c r="D197">
        <v>109.962614071239</v>
      </c>
    </row>
    <row r="198" spans="1:4" x14ac:dyDescent="0.3">
      <c r="A198">
        <v>2000</v>
      </c>
      <c r="B198" t="s">
        <v>120</v>
      </c>
      <c r="C198">
        <v>25</v>
      </c>
      <c r="D198">
        <v>118.033264645275</v>
      </c>
    </row>
    <row r="199" spans="1:4" x14ac:dyDescent="0.3">
      <c r="A199">
        <v>2000</v>
      </c>
      <c r="B199" t="s">
        <v>120</v>
      </c>
      <c r="C199">
        <v>30</v>
      </c>
      <c r="D199">
        <v>124.08625257580201</v>
      </c>
    </row>
    <row r="200" spans="1:4" x14ac:dyDescent="0.3">
      <c r="A200">
        <v>2000</v>
      </c>
      <c r="B200" t="s">
        <v>120</v>
      </c>
      <c r="C200">
        <v>35</v>
      </c>
      <c r="D200">
        <v>158.38651751545501</v>
      </c>
    </row>
    <row r="201" spans="1:4" x14ac:dyDescent="0.3">
      <c r="A201">
        <v>2000</v>
      </c>
      <c r="B201" t="s">
        <v>120</v>
      </c>
      <c r="C201">
        <v>40</v>
      </c>
      <c r="D201">
        <v>166.45716808949101</v>
      </c>
    </row>
    <row r="202" spans="1:4" x14ac:dyDescent="0.3">
      <c r="A202">
        <v>2000</v>
      </c>
      <c r="B202" t="s">
        <v>120</v>
      </c>
      <c r="C202">
        <v>45</v>
      </c>
      <c r="D202">
        <v>197.73093906387999</v>
      </c>
    </row>
    <row r="203" spans="1:4" x14ac:dyDescent="0.3">
      <c r="A203">
        <v>2000</v>
      </c>
      <c r="B203" t="s">
        <v>120</v>
      </c>
      <c r="C203">
        <v>50</v>
      </c>
      <c r="D203">
        <v>197.73093906387999</v>
      </c>
    </row>
    <row r="204" spans="1:4" x14ac:dyDescent="0.3">
      <c r="A204">
        <v>2000</v>
      </c>
      <c r="B204" t="s">
        <v>120</v>
      </c>
      <c r="C204">
        <v>55</v>
      </c>
      <c r="D204">
        <v>215.889902855461</v>
      </c>
    </row>
    <row r="205" spans="1:4" x14ac:dyDescent="0.3">
      <c r="A205">
        <v>2000</v>
      </c>
      <c r="B205" t="s">
        <v>120</v>
      </c>
      <c r="C205">
        <v>60</v>
      </c>
      <c r="D205">
        <v>221.942890785988</v>
      </c>
    </row>
    <row r="206" spans="1:4" x14ac:dyDescent="0.3">
      <c r="A206">
        <v>2000</v>
      </c>
      <c r="B206" t="s">
        <v>120</v>
      </c>
      <c r="C206">
        <v>65</v>
      </c>
      <c r="D206">
        <v>248.17250515160401</v>
      </c>
    </row>
    <row r="207" spans="1:4" x14ac:dyDescent="0.3">
      <c r="A207">
        <v>2000</v>
      </c>
      <c r="B207" t="s">
        <v>120</v>
      </c>
      <c r="C207">
        <v>70</v>
      </c>
      <c r="D207">
        <v>247.16367382985001</v>
      </c>
    </row>
    <row r="208" spans="1:4" x14ac:dyDescent="0.3">
      <c r="A208">
        <v>2000</v>
      </c>
      <c r="B208" t="s">
        <v>120</v>
      </c>
      <c r="C208">
        <v>75</v>
      </c>
      <c r="D208">
        <v>262.29614365616698</v>
      </c>
    </row>
    <row r="209" spans="1:4" x14ac:dyDescent="0.3">
      <c r="A209">
        <v>2000</v>
      </c>
      <c r="B209" t="s">
        <v>120</v>
      </c>
      <c r="C209">
        <v>80</v>
      </c>
      <c r="D209">
        <v>193.69561377686199</v>
      </c>
    </row>
    <row r="210" spans="1:4" x14ac:dyDescent="0.3">
      <c r="A210">
        <v>2000</v>
      </c>
      <c r="B210" t="s">
        <v>120</v>
      </c>
      <c r="C210">
        <v>85</v>
      </c>
      <c r="D210">
        <v>372.25875772740699</v>
      </c>
    </row>
    <row r="211" spans="1:4" x14ac:dyDescent="0.3">
      <c r="A211">
        <v>2001</v>
      </c>
      <c r="B211" t="s">
        <v>120</v>
      </c>
      <c r="C211">
        <v>0</v>
      </c>
      <c r="D211">
        <v>349.17229835423399</v>
      </c>
    </row>
    <row r="212" spans="1:4" x14ac:dyDescent="0.3">
      <c r="A212">
        <v>2001</v>
      </c>
      <c r="B212" t="s">
        <v>120</v>
      </c>
      <c r="C212">
        <v>1</v>
      </c>
      <c r="D212">
        <v>46.349667184511198</v>
      </c>
    </row>
    <row r="213" spans="1:4" x14ac:dyDescent="0.3">
      <c r="A213">
        <v>2001</v>
      </c>
      <c r="B213" t="s">
        <v>120</v>
      </c>
      <c r="C213">
        <v>5</v>
      </c>
      <c r="D213">
        <v>35.266051118649898</v>
      </c>
    </row>
    <row r="214" spans="1:4" x14ac:dyDescent="0.3">
      <c r="A214">
        <v>2001</v>
      </c>
      <c r="B214" t="s">
        <v>120</v>
      </c>
      <c r="C214">
        <v>10</v>
      </c>
      <c r="D214">
        <v>48.364870105576998</v>
      </c>
    </row>
    <row r="215" spans="1:4" x14ac:dyDescent="0.3">
      <c r="A215">
        <v>2001</v>
      </c>
      <c r="B215" t="s">
        <v>120</v>
      </c>
      <c r="C215">
        <v>15</v>
      </c>
      <c r="D215">
        <v>99.7525445927525</v>
      </c>
    </row>
    <row r="216" spans="1:4" x14ac:dyDescent="0.3">
      <c r="A216">
        <v>2001</v>
      </c>
      <c r="B216" t="s">
        <v>120</v>
      </c>
      <c r="C216">
        <v>20</v>
      </c>
      <c r="D216">
        <v>111.843762119147</v>
      </c>
    </row>
    <row r="217" spans="1:4" x14ac:dyDescent="0.3">
      <c r="A217">
        <v>2001</v>
      </c>
      <c r="B217" t="s">
        <v>120</v>
      </c>
      <c r="C217">
        <v>25</v>
      </c>
      <c r="D217">
        <v>120.912175263942</v>
      </c>
    </row>
    <row r="218" spans="1:4" x14ac:dyDescent="0.3">
      <c r="A218">
        <v>2001</v>
      </c>
      <c r="B218" t="s">
        <v>120</v>
      </c>
      <c r="C218">
        <v>30</v>
      </c>
      <c r="D218">
        <v>146.10221177726399</v>
      </c>
    </row>
    <row r="219" spans="1:4" x14ac:dyDescent="0.3">
      <c r="A219">
        <v>2001</v>
      </c>
      <c r="B219" t="s">
        <v>120</v>
      </c>
      <c r="C219">
        <v>35</v>
      </c>
      <c r="D219">
        <v>145.812900466814</v>
      </c>
    </row>
    <row r="220" spans="1:4" x14ac:dyDescent="0.3">
      <c r="A220">
        <v>2001</v>
      </c>
      <c r="B220" t="s">
        <v>120</v>
      </c>
      <c r="C220">
        <v>40</v>
      </c>
      <c r="D220">
        <v>164.23903806685499</v>
      </c>
    </row>
    <row r="221" spans="1:4" x14ac:dyDescent="0.3">
      <c r="A221">
        <v>2001</v>
      </c>
      <c r="B221" t="s">
        <v>120</v>
      </c>
      <c r="C221">
        <v>45</v>
      </c>
      <c r="D221">
        <v>193.45948042230799</v>
      </c>
    </row>
    <row r="222" spans="1:4" x14ac:dyDescent="0.3">
      <c r="A222">
        <v>2001</v>
      </c>
      <c r="B222" t="s">
        <v>120</v>
      </c>
      <c r="C222">
        <v>50</v>
      </c>
      <c r="D222">
        <v>189.42907458017601</v>
      </c>
    </row>
    <row r="223" spans="1:4" x14ac:dyDescent="0.3">
      <c r="A223">
        <v>2001</v>
      </c>
      <c r="B223" t="s">
        <v>120</v>
      </c>
      <c r="C223">
        <v>55</v>
      </c>
      <c r="D223">
        <v>213.61150963296501</v>
      </c>
    </row>
    <row r="224" spans="1:4" x14ac:dyDescent="0.3">
      <c r="A224">
        <v>2001</v>
      </c>
      <c r="B224" t="s">
        <v>120</v>
      </c>
      <c r="C224">
        <v>60</v>
      </c>
      <c r="D224">
        <v>237.79394468575299</v>
      </c>
    </row>
    <row r="225" spans="1:4" x14ac:dyDescent="0.3">
      <c r="A225">
        <v>2001</v>
      </c>
      <c r="B225" t="s">
        <v>120</v>
      </c>
      <c r="C225">
        <v>65</v>
      </c>
      <c r="D225">
        <v>226.71032861989201</v>
      </c>
    </row>
    <row r="226" spans="1:4" x14ac:dyDescent="0.3">
      <c r="A226">
        <v>2001</v>
      </c>
      <c r="B226" t="s">
        <v>120</v>
      </c>
      <c r="C226">
        <v>70</v>
      </c>
      <c r="D226">
        <v>249.436836169034</v>
      </c>
    </row>
    <row r="227" spans="1:4" x14ac:dyDescent="0.3">
      <c r="A227">
        <v>2001</v>
      </c>
      <c r="B227" t="s">
        <v>120</v>
      </c>
      <c r="C227">
        <v>75</v>
      </c>
      <c r="D227">
        <v>266.60055072705899</v>
      </c>
    </row>
    <row r="228" spans="1:4" x14ac:dyDescent="0.3">
      <c r="A228">
        <v>2001</v>
      </c>
      <c r="B228" t="s">
        <v>120</v>
      </c>
      <c r="C228">
        <v>80</v>
      </c>
      <c r="D228">
        <v>224.69512569882599</v>
      </c>
    </row>
    <row r="229" spans="1:4" x14ac:dyDescent="0.3">
      <c r="A229">
        <v>2001</v>
      </c>
      <c r="B229" t="s">
        <v>120</v>
      </c>
      <c r="C229">
        <v>85</v>
      </c>
      <c r="D229">
        <v>376.84294623928702</v>
      </c>
    </row>
    <row r="230" spans="1:4" x14ac:dyDescent="0.3">
      <c r="A230">
        <v>2002</v>
      </c>
      <c r="B230" t="s">
        <v>120</v>
      </c>
      <c r="C230">
        <v>0</v>
      </c>
      <c r="D230">
        <v>352.67951353954902</v>
      </c>
    </row>
    <row r="231" spans="1:4" x14ac:dyDescent="0.3">
      <c r="A231">
        <v>2002</v>
      </c>
      <c r="B231" t="s">
        <v>120</v>
      </c>
      <c r="C231">
        <v>1</v>
      </c>
      <c r="D231">
        <v>45.2736580885256</v>
      </c>
    </row>
    <row r="232" spans="1:4" x14ac:dyDescent="0.3">
      <c r="A232">
        <v>2002</v>
      </c>
      <c r="B232" t="s">
        <v>120</v>
      </c>
      <c r="C232">
        <v>5</v>
      </c>
      <c r="D232">
        <v>34.206763889108203</v>
      </c>
    </row>
    <row r="233" spans="1:4" x14ac:dyDescent="0.3">
      <c r="A233">
        <v>2002</v>
      </c>
      <c r="B233" t="s">
        <v>120</v>
      </c>
      <c r="C233">
        <v>10</v>
      </c>
      <c r="D233">
        <v>40.243251634244899</v>
      </c>
    </row>
    <row r="234" spans="1:4" x14ac:dyDescent="0.3">
      <c r="A234">
        <v>2002</v>
      </c>
      <c r="B234" t="s">
        <v>120</v>
      </c>
      <c r="C234">
        <v>15</v>
      </c>
      <c r="D234">
        <v>81.492584559346</v>
      </c>
    </row>
    <row r="235" spans="1:4" x14ac:dyDescent="0.3">
      <c r="A235">
        <v>2002</v>
      </c>
      <c r="B235" t="s">
        <v>120</v>
      </c>
      <c r="C235">
        <v>20</v>
      </c>
      <c r="D235">
        <v>97.589885213043999</v>
      </c>
    </row>
    <row r="236" spans="1:4" x14ac:dyDescent="0.3">
      <c r="A236">
        <v>2002</v>
      </c>
      <c r="B236" t="s">
        <v>120</v>
      </c>
      <c r="C236">
        <v>25</v>
      </c>
      <c r="D236">
        <v>116.70542973931001</v>
      </c>
    </row>
    <row r="237" spans="1:4" x14ac:dyDescent="0.3">
      <c r="A237">
        <v>2002</v>
      </c>
      <c r="B237" t="s">
        <v>120</v>
      </c>
      <c r="C237">
        <v>30</v>
      </c>
      <c r="D237">
        <v>116.70542973931001</v>
      </c>
    </row>
    <row r="238" spans="1:4" x14ac:dyDescent="0.3">
      <c r="A238">
        <v>2002</v>
      </c>
      <c r="B238" t="s">
        <v>120</v>
      </c>
      <c r="C238">
        <v>35</v>
      </c>
      <c r="D238">
        <v>135.46304149863701</v>
      </c>
    </row>
    <row r="239" spans="1:4" x14ac:dyDescent="0.3">
      <c r="A239">
        <v>2002</v>
      </c>
      <c r="B239" t="s">
        <v>120</v>
      </c>
      <c r="C239">
        <v>40</v>
      </c>
      <c r="D239">
        <v>160.97300653697999</v>
      </c>
    </row>
    <row r="240" spans="1:4" x14ac:dyDescent="0.3">
      <c r="A240">
        <v>2002</v>
      </c>
      <c r="B240" t="s">
        <v>120</v>
      </c>
      <c r="C240">
        <v>45</v>
      </c>
      <c r="D240">
        <v>190.14936397180699</v>
      </c>
    </row>
    <row r="241" spans="1:4" x14ac:dyDescent="0.3">
      <c r="A241">
        <v>2002</v>
      </c>
      <c r="B241" t="s">
        <v>120</v>
      </c>
      <c r="C241">
        <v>50</v>
      </c>
      <c r="D241">
        <v>192.16152655351999</v>
      </c>
    </row>
    <row r="242" spans="1:4" x14ac:dyDescent="0.3">
      <c r="A242">
        <v>2002</v>
      </c>
      <c r="B242" t="s">
        <v>120</v>
      </c>
      <c r="C242">
        <v>55</v>
      </c>
      <c r="D242">
        <v>199.20409558951201</v>
      </c>
    </row>
    <row r="243" spans="1:4" x14ac:dyDescent="0.3">
      <c r="A243">
        <v>2002</v>
      </c>
      <c r="B243" t="s">
        <v>120</v>
      </c>
      <c r="C243">
        <v>60</v>
      </c>
      <c r="D243">
        <v>234.41694076947701</v>
      </c>
    </row>
    <row r="244" spans="1:4" x14ac:dyDescent="0.3">
      <c r="A244">
        <v>2002</v>
      </c>
      <c r="B244" t="s">
        <v>120</v>
      </c>
      <c r="C244">
        <v>65</v>
      </c>
      <c r="D244">
        <v>250.51424142317501</v>
      </c>
    </row>
    <row r="245" spans="1:4" x14ac:dyDescent="0.3">
      <c r="A245">
        <v>2002</v>
      </c>
      <c r="B245" t="s">
        <v>120</v>
      </c>
      <c r="C245">
        <v>70</v>
      </c>
      <c r="D245">
        <v>262.12047817026797</v>
      </c>
    </row>
    <row r="246" spans="1:4" x14ac:dyDescent="0.3">
      <c r="A246">
        <v>2002</v>
      </c>
      <c r="B246" t="s">
        <v>120</v>
      </c>
      <c r="C246">
        <v>75</v>
      </c>
      <c r="D246">
        <v>302.83046854769299</v>
      </c>
    </row>
    <row r="247" spans="1:4" x14ac:dyDescent="0.3">
      <c r="A247">
        <v>2002</v>
      </c>
      <c r="B247" t="s">
        <v>120</v>
      </c>
      <c r="C247">
        <v>80</v>
      </c>
      <c r="D247">
        <v>247.98512007541001</v>
      </c>
    </row>
    <row r="248" spans="1:4" x14ac:dyDescent="0.3">
      <c r="A248">
        <v>2002</v>
      </c>
      <c r="B248" t="s">
        <v>120</v>
      </c>
      <c r="C248">
        <v>85</v>
      </c>
      <c r="D248">
        <v>413.49941054186701</v>
      </c>
    </row>
    <row r="249" spans="1:4" x14ac:dyDescent="0.3">
      <c r="A249">
        <v>2003</v>
      </c>
      <c r="B249" t="s">
        <v>120</v>
      </c>
      <c r="C249">
        <v>0</v>
      </c>
      <c r="D249">
        <v>333.07126062349897</v>
      </c>
    </row>
    <row r="250" spans="1:4" x14ac:dyDescent="0.3">
      <c r="A250">
        <v>2003</v>
      </c>
      <c r="B250" t="s">
        <v>120</v>
      </c>
      <c r="C250">
        <v>1</v>
      </c>
      <c r="D250">
        <v>56.521183620957402</v>
      </c>
    </row>
    <row r="251" spans="1:4" x14ac:dyDescent="0.3">
      <c r="A251">
        <v>2003</v>
      </c>
      <c r="B251" t="s">
        <v>120</v>
      </c>
      <c r="C251">
        <v>5</v>
      </c>
      <c r="D251">
        <v>32.2978192119756</v>
      </c>
    </row>
    <row r="252" spans="1:4" x14ac:dyDescent="0.3">
      <c r="A252">
        <v>2003</v>
      </c>
      <c r="B252" t="s">
        <v>120</v>
      </c>
      <c r="C252">
        <v>10</v>
      </c>
      <c r="D252">
        <v>25.232671259356</v>
      </c>
    </row>
    <row r="253" spans="1:4" x14ac:dyDescent="0.3">
      <c r="A253">
        <v>2003</v>
      </c>
      <c r="B253" t="s">
        <v>120</v>
      </c>
      <c r="C253">
        <v>15</v>
      </c>
      <c r="D253">
        <v>85.791082281810304</v>
      </c>
    </row>
    <row r="254" spans="1:4" x14ac:dyDescent="0.3">
      <c r="A254">
        <v>2003</v>
      </c>
      <c r="B254" t="s">
        <v>120</v>
      </c>
      <c r="C254">
        <v>20</v>
      </c>
      <c r="D254">
        <v>107.99583299004399</v>
      </c>
    </row>
    <row r="255" spans="1:4" x14ac:dyDescent="0.3">
      <c r="A255">
        <v>2003</v>
      </c>
      <c r="B255" t="s">
        <v>120</v>
      </c>
      <c r="C255">
        <v>25</v>
      </c>
      <c r="D255">
        <v>140.066841673845</v>
      </c>
    </row>
    <row r="256" spans="1:4" x14ac:dyDescent="0.3">
      <c r="A256">
        <v>2003</v>
      </c>
      <c r="B256" t="s">
        <v>120</v>
      </c>
      <c r="C256">
        <v>30</v>
      </c>
      <c r="D256">
        <v>109.005139840418</v>
      </c>
    </row>
    <row r="257" spans="1:4" x14ac:dyDescent="0.3">
      <c r="A257">
        <v>2003</v>
      </c>
      <c r="B257" t="s">
        <v>120</v>
      </c>
      <c r="C257">
        <v>35</v>
      </c>
      <c r="D257">
        <v>150.386720705762</v>
      </c>
    </row>
    <row r="258" spans="1:4" x14ac:dyDescent="0.3">
      <c r="A258">
        <v>2003</v>
      </c>
      <c r="B258" t="s">
        <v>120</v>
      </c>
      <c r="C258">
        <v>40</v>
      </c>
      <c r="D258">
        <v>201.861370074848</v>
      </c>
    </row>
    <row r="259" spans="1:4" x14ac:dyDescent="0.3">
      <c r="A259">
        <v>2003</v>
      </c>
      <c r="B259" t="s">
        <v>120</v>
      </c>
      <c r="C259">
        <v>45</v>
      </c>
      <c r="D259">
        <v>163.50770976062699</v>
      </c>
    </row>
    <row r="260" spans="1:4" x14ac:dyDescent="0.3">
      <c r="A260">
        <v>2003</v>
      </c>
      <c r="B260" t="s">
        <v>120</v>
      </c>
      <c r="C260">
        <v>50</v>
      </c>
      <c r="D260">
        <v>205.898597476345</v>
      </c>
    </row>
    <row r="261" spans="1:4" x14ac:dyDescent="0.3">
      <c r="A261">
        <v>2003</v>
      </c>
      <c r="B261" t="s">
        <v>120</v>
      </c>
      <c r="C261">
        <v>55</v>
      </c>
      <c r="D261">
        <v>235.16849613719799</v>
      </c>
    </row>
    <row r="262" spans="1:4" x14ac:dyDescent="0.3">
      <c r="A262">
        <v>2003</v>
      </c>
      <c r="B262" t="s">
        <v>120</v>
      </c>
      <c r="C262">
        <v>60</v>
      </c>
      <c r="D262">
        <v>232.14057558607499</v>
      </c>
    </row>
    <row r="263" spans="1:4" x14ac:dyDescent="0.3">
      <c r="A263">
        <v>2003</v>
      </c>
      <c r="B263" t="s">
        <v>120</v>
      </c>
      <c r="C263">
        <v>65</v>
      </c>
      <c r="D263">
        <v>244.25225779056601</v>
      </c>
    </row>
    <row r="264" spans="1:4" x14ac:dyDescent="0.3">
      <c r="A264">
        <v>2003</v>
      </c>
      <c r="B264" t="s">
        <v>120</v>
      </c>
      <c r="C264">
        <v>70</v>
      </c>
      <c r="D264">
        <v>279.57799755366398</v>
      </c>
    </row>
    <row r="265" spans="1:4" x14ac:dyDescent="0.3">
      <c r="A265">
        <v>2003</v>
      </c>
      <c r="B265" t="s">
        <v>120</v>
      </c>
      <c r="C265">
        <v>75</v>
      </c>
      <c r="D265">
        <v>287.65245235665799</v>
      </c>
    </row>
    <row r="266" spans="1:4" x14ac:dyDescent="0.3">
      <c r="A266">
        <v>2003</v>
      </c>
      <c r="B266" t="s">
        <v>120</v>
      </c>
      <c r="C266">
        <v>80</v>
      </c>
      <c r="D266">
        <v>269.48492904992202</v>
      </c>
    </row>
    <row r="267" spans="1:4" x14ac:dyDescent="0.3">
      <c r="A267">
        <v>2003</v>
      </c>
      <c r="B267" t="s">
        <v>120</v>
      </c>
      <c r="C267">
        <v>85</v>
      </c>
      <c r="D267">
        <v>418.86234290530899</v>
      </c>
    </row>
    <row r="268" spans="1:4" x14ac:dyDescent="0.3">
      <c r="A268">
        <v>2004</v>
      </c>
      <c r="B268" t="s">
        <v>120</v>
      </c>
      <c r="C268">
        <v>0</v>
      </c>
      <c r="D268">
        <v>304.43514328873198</v>
      </c>
    </row>
    <row r="269" spans="1:4" x14ac:dyDescent="0.3">
      <c r="A269">
        <v>2004</v>
      </c>
      <c r="B269" t="s">
        <v>120</v>
      </c>
      <c r="C269">
        <v>1</v>
      </c>
      <c r="D269">
        <v>54.435422972157397</v>
      </c>
    </row>
    <row r="270" spans="1:4" x14ac:dyDescent="0.3">
      <c r="A270">
        <v>2004</v>
      </c>
      <c r="B270" t="s">
        <v>120</v>
      </c>
      <c r="C270">
        <v>5</v>
      </c>
      <c r="D270">
        <v>30.241901651198599</v>
      </c>
    </row>
    <row r="271" spans="1:4" x14ac:dyDescent="0.3">
      <c r="A271">
        <v>2004</v>
      </c>
      <c r="B271" t="s">
        <v>120</v>
      </c>
      <c r="C271">
        <v>10</v>
      </c>
      <c r="D271">
        <v>37.298345369811599</v>
      </c>
    </row>
    <row r="272" spans="1:4" x14ac:dyDescent="0.3">
      <c r="A272">
        <v>2004</v>
      </c>
      <c r="B272" t="s">
        <v>120</v>
      </c>
      <c r="C272">
        <v>15</v>
      </c>
      <c r="D272">
        <v>98.790212060581993</v>
      </c>
    </row>
    <row r="273" spans="1:4" x14ac:dyDescent="0.3">
      <c r="A273">
        <v>2004</v>
      </c>
      <c r="B273" t="s">
        <v>120</v>
      </c>
      <c r="C273">
        <v>20</v>
      </c>
      <c r="D273">
        <v>115.927289662928</v>
      </c>
    </row>
    <row r="274" spans="1:4" x14ac:dyDescent="0.3">
      <c r="A274">
        <v>2004</v>
      </c>
      <c r="B274" t="s">
        <v>120</v>
      </c>
      <c r="C274">
        <v>25</v>
      </c>
      <c r="D274">
        <v>115.927289662928</v>
      </c>
    </row>
    <row r="275" spans="1:4" x14ac:dyDescent="0.3">
      <c r="A275">
        <v>2004</v>
      </c>
      <c r="B275" t="s">
        <v>120</v>
      </c>
      <c r="C275">
        <v>30</v>
      </c>
      <c r="D275">
        <v>149.193381479246</v>
      </c>
    </row>
    <row r="276" spans="1:4" x14ac:dyDescent="0.3">
      <c r="A276">
        <v>2004</v>
      </c>
      <c r="B276" t="s">
        <v>120</v>
      </c>
      <c r="C276">
        <v>35</v>
      </c>
      <c r="D276">
        <v>137.09662081876701</v>
      </c>
    </row>
    <row r="277" spans="1:4" x14ac:dyDescent="0.3">
      <c r="A277">
        <v>2004</v>
      </c>
      <c r="B277" t="s">
        <v>120</v>
      </c>
      <c r="C277">
        <v>40</v>
      </c>
      <c r="D277">
        <v>162.298205528099</v>
      </c>
    </row>
    <row r="278" spans="1:4" x14ac:dyDescent="0.3">
      <c r="A278">
        <v>2004</v>
      </c>
      <c r="B278" t="s">
        <v>120</v>
      </c>
      <c r="C278">
        <v>45</v>
      </c>
      <c r="D278">
        <v>187.499790237431</v>
      </c>
    </row>
    <row r="279" spans="1:4" x14ac:dyDescent="0.3">
      <c r="A279">
        <v>2004</v>
      </c>
      <c r="B279" t="s">
        <v>120</v>
      </c>
      <c r="C279">
        <v>50</v>
      </c>
      <c r="D279">
        <v>221.77394544212299</v>
      </c>
    </row>
    <row r="280" spans="1:4" x14ac:dyDescent="0.3">
      <c r="A280">
        <v>2004</v>
      </c>
      <c r="B280" t="s">
        <v>120</v>
      </c>
      <c r="C280">
        <v>55</v>
      </c>
      <c r="D280">
        <v>207.661058004897</v>
      </c>
    </row>
    <row r="281" spans="1:4" x14ac:dyDescent="0.3">
      <c r="A281">
        <v>2004</v>
      </c>
      <c r="B281" t="s">
        <v>120</v>
      </c>
      <c r="C281">
        <v>60</v>
      </c>
      <c r="D281">
        <v>240.92714982121501</v>
      </c>
    </row>
    <row r="282" spans="1:4" x14ac:dyDescent="0.3">
      <c r="A282">
        <v>2004</v>
      </c>
      <c r="B282" t="s">
        <v>120</v>
      </c>
      <c r="C282">
        <v>65</v>
      </c>
      <c r="D282">
        <v>252.01584709332201</v>
      </c>
    </row>
    <row r="283" spans="1:4" x14ac:dyDescent="0.3">
      <c r="A283">
        <v>2004</v>
      </c>
      <c r="B283" t="s">
        <v>120</v>
      </c>
      <c r="C283">
        <v>70</v>
      </c>
      <c r="D283">
        <v>284.27387552126697</v>
      </c>
    </row>
    <row r="284" spans="1:4" x14ac:dyDescent="0.3">
      <c r="A284">
        <v>2004</v>
      </c>
      <c r="B284" t="s">
        <v>120</v>
      </c>
      <c r="C284">
        <v>75</v>
      </c>
      <c r="D284">
        <v>267.13679791892099</v>
      </c>
    </row>
    <row r="285" spans="1:4" x14ac:dyDescent="0.3">
      <c r="A285">
        <v>2004</v>
      </c>
      <c r="B285" t="s">
        <v>120</v>
      </c>
      <c r="C285">
        <v>80</v>
      </c>
      <c r="D285">
        <v>298.38676295849302</v>
      </c>
    </row>
    <row r="286" spans="1:4" x14ac:dyDescent="0.3">
      <c r="A286">
        <v>2004</v>
      </c>
      <c r="B286" t="s">
        <v>120</v>
      </c>
      <c r="C286">
        <v>85</v>
      </c>
      <c r="D286">
        <v>414.723049711866</v>
      </c>
    </row>
    <row r="287" spans="1:4" x14ac:dyDescent="0.3">
      <c r="A287">
        <v>2005</v>
      </c>
      <c r="B287" t="s">
        <v>120</v>
      </c>
      <c r="C287">
        <v>0</v>
      </c>
      <c r="D287">
        <v>292.027347208138</v>
      </c>
    </row>
    <row r="288" spans="1:4" x14ac:dyDescent="0.3">
      <c r="A288">
        <v>2005</v>
      </c>
      <c r="B288" t="s">
        <v>120</v>
      </c>
      <c r="C288">
        <v>1</v>
      </c>
      <c r="D288">
        <v>49.1729897360783</v>
      </c>
    </row>
    <row r="289" spans="1:4" x14ac:dyDescent="0.3">
      <c r="A289">
        <v>2005</v>
      </c>
      <c r="B289" t="s">
        <v>120</v>
      </c>
      <c r="C289">
        <v>5</v>
      </c>
      <c r="D289">
        <v>27.095320874981901</v>
      </c>
    </row>
    <row r="290" spans="1:4" x14ac:dyDescent="0.3">
      <c r="A290">
        <v>2005</v>
      </c>
      <c r="B290" t="s">
        <v>120</v>
      </c>
      <c r="C290">
        <v>10</v>
      </c>
      <c r="D290">
        <v>36.127094499975897</v>
      </c>
    </row>
    <row r="291" spans="1:4" x14ac:dyDescent="0.3">
      <c r="A291">
        <v>2005</v>
      </c>
      <c r="B291" t="s">
        <v>120</v>
      </c>
      <c r="C291">
        <v>15</v>
      </c>
      <c r="D291">
        <v>76.268310611060102</v>
      </c>
    </row>
    <row r="292" spans="1:4" x14ac:dyDescent="0.3">
      <c r="A292">
        <v>2005</v>
      </c>
      <c r="B292" t="s">
        <v>120</v>
      </c>
      <c r="C292">
        <v>20</v>
      </c>
      <c r="D292">
        <v>104.367161888819</v>
      </c>
    </row>
    <row r="293" spans="1:4" x14ac:dyDescent="0.3">
      <c r="A293">
        <v>2005</v>
      </c>
      <c r="B293" t="s">
        <v>120</v>
      </c>
      <c r="C293">
        <v>25</v>
      </c>
      <c r="D293">
        <v>121.42717873603</v>
      </c>
    </row>
    <row r="294" spans="1:4" x14ac:dyDescent="0.3">
      <c r="A294">
        <v>2005</v>
      </c>
      <c r="B294" t="s">
        <v>120</v>
      </c>
      <c r="C294">
        <v>30</v>
      </c>
      <c r="D294">
        <v>122.430709138807</v>
      </c>
    </row>
    <row r="295" spans="1:4" x14ac:dyDescent="0.3">
      <c r="A295">
        <v>2005</v>
      </c>
      <c r="B295" t="s">
        <v>120</v>
      </c>
      <c r="C295">
        <v>35</v>
      </c>
      <c r="D295">
        <v>128.45189155547001</v>
      </c>
    </row>
    <row r="296" spans="1:4" x14ac:dyDescent="0.3">
      <c r="A296">
        <v>2005</v>
      </c>
      <c r="B296" t="s">
        <v>120</v>
      </c>
      <c r="C296">
        <v>40</v>
      </c>
      <c r="D296">
        <v>174.61429008321701</v>
      </c>
    </row>
    <row r="297" spans="1:4" x14ac:dyDescent="0.3">
      <c r="A297">
        <v>2005</v>
      </c>
      <c r="B297" t="s">
        <v>120</v>
      </c>
      <c r="C297">
        <v>45</v>
      </c>
      <c r="D297">
        <v>219.773158208186</v>
      </c>
    </row>
    <row r="298" spans="1:4" x14ac:dyDescent="0.3">
      <c r="A298">
        <v>2005</v>
      </c>
      <c r="B298" t="s">
        <v>120</v>
      </c>
      <c r="C298">
        <v>50</v>
      </c>
      <c r="D298">
        <v>194.684898138759</v>
      </c>
    </row>
    <row r="299" spans="1:4" x14ac:dyDescent="0.3">
      <c r="A299">
        <v>2005</v>
      </c>
      <c r="B299" t="s">
        <v>120</v>
      </c>
      <c r="C299">
        <v>55</v>
      </c>
      <c r="D299">
        <v>250.88260069427699</v>
      </c>
    </row>
    <row r="300" spans="1:4" x14ac:dyDescent="0.3">
      <c r="A300">
        <v>2005</v>
      </c>
      <c r="B300" t="s">
        <v>120</v>
      </c>
      <c r="C300">
        <v>60</v>
      </c>
      <c r="D300">
        <v>264.93202633315599</v>
      </c>
    </row>
    <row r="301" spans="1:4" x14ac:dyDescent="0.3">
      <c r="A301">
        <v>2005</v>
      </c>
      <c r="B301" t="s">
        <v>120</v>
      </c>
      <c r="C301">
        <v>65</v>
      </c>
      <c r="D301">
        <v>265.44446738989399</v>
      </c>
    </row>
    <row r="302" spans="1:4" x14ac:dyDescent="0.3">
      <c r="A302">
        <v>2005</v>
      </c>
      <c r="B302" t="s">
        <v>120</v>
      </c>
      <c r="C302">
        <v>70</v>
      </c>
      <c r="D302">
        <v>324.140320097006</v>
      </c>
    </row>
    <row r="303" spans="1:4" x14ac:dyDescent="0.3">
      <c r="A303">
        <v>2005</v>
      </c>
      <c r="B303" t="s">
        <v>120</v>
      </c>
      <c r="C303">
        <v>75</v>
      </c>
      <c r="D303">
        <v>312.09795526367998</v>
      </c>
    </row>
    <row r="304" spans="1:4" x14ac:dyDescent="0.3">
      <c r="A304">
        <v>2005</v>
      </c>
      <c r="B304" t="s">
        <v>120</v>
      </c>
      <c r="C304">
        <v>80</v>
      </c>
      <c r="D304">
        <v>297.04499922202399</v>
      </c>
    </row>
    <row r="305" spans="1:4" x14ac:dyDescent="0.3">
      <c r="A305">
        <v>2005</v>
      </c>
      <c r="B305" t="s">
        <v>120</v>
      </c>
      <c r="C305">
        <v>85</v>
      </c>
      <c r="D305">
        <v>412.45099554139102</v>
      </c>
    </row>
    <row r="306" spans="1:4" x14ac:dyDescent="0.3">
      <c r="A306">
        <v>2006</v>
      </c>
      <c r="B306" t="s">
        <v>120</v>
      </c>
      <c r="C306">
        <v>0</v>
      </c>
      <c r="D306">
        <v>266.42503328894799</v>
      </c>
    </row>
    <row r="307" spans="1:4" x14ac:dyDescent="0.3">
      <c r="A307">
        <v>2006</v>
      </c>
      <c r="B307" t="s">
        <v>120</v>
      </c>
      <c r="C307">
        <v>1</v>
      </c>
      <c r="D307">
        <v>47.075099866844198</v>
      </c>
    </row>
    <row r="308" spans="1:4" x14ac:dyDescent="0.3">
      <c r="A308">
        <v>2006</v>
      </c>
      <c r="B308" t="s">
        <v>120</v>
      </c>
      <c r="C308">
        <v>5</v>
      </c>
      <c r="D308">
        <v>25.039946737683099</v>
      </c>
    </row>
    <row r="309" spans="1:4" x14ac:dyDescent="0.3">
      <c r="A309">
        <v>2006</v>
      </c>
      <c r="B309" t="s">
        <v>120</v>
      </c>
      <c r="C309">
        <v>10</v>
      </c>
      <c r="D309">
        <v>35.055925432756297</v>
      </c>
    </row>
    <row r="310" spans="1:4" x14ac:dyDescent="0.3">
      <c r="A310">
        <v>2006</v>
      </c>
      <c r="B310" t="s">
        <v>120</v>
      </c>
      <c r="C310">
        <v>15</v>
      </c>
      <c r="D310">
        <v>89.142210386151802</v>
      </c>
    </row>
    <row r="311" spans="1:4" x14ac:dyDescent="0.3">
      <c r="A311">
        <v>2006</v>
      </c>
      <c r="B311" t="s">
        <v>120</v>
      </c>
      <c r="C311">
        <v>20</v>
      </c>
      <c r="D311">
        <v>113.180559254328</v>
      </c>
    </row>
    <row r="312" spans="1:4" x14ac:dyDescent="0.3">
      <c r="A312">
        <v>2006</v>
      </c>
      <c r="B312" t="s">
        <v>120</v>
      </c>
      <c r="C312">
        <v>25</v>
      </c>
      <c r="D312">
        <v>120.191744340879</v>
      </c>
    </row>
    <row r="313" spans="1:4" x14ac:dyDescent="0.3">
      <c r="A313">
        <v>2006</v>
      </c>
      <c r="B313" t="s">
        <v>120</v>
      </c>
      <c r="C313">
        <v>30</v>
      </c>
      <c r="D313">
        <v>127.20292942743001</v>
      </c>
    </row>
    <row r="314" spans="1:4" x14ac:dyDescent="0.3">
      <c r="A314">
        <v>2006</v>
      </c>
      <c r="B314" t="s">
        <v>120</v>
      </c>
      <c r="C314">
        <v>35</v>
      </c>
      <c r="D314">
        <v>140.22370173102499</v>
      </c>
    </row>
    <row r="315" spans="1:4" x14ac:dyDescent="0.3">
      <c r="A315">
        <v>2006</v>
      </c>
      <c r="B315" t="s">
        <v>120</v>
      </c>
      <c r="C315">
        <v>40</v>
      </c>
      <c r="D315">
        <v>174.27802929427401</v>
      </c>
    </row>
    <row r="316" spans="1:4" x14ac:dyDescent="0.3">
      <c r="A316">
        <v>2006</v>
      </c>
      <c r="B316" t="s">
        <v>120</v>
      </c>
      <c r="C316">
        <v>45</v>
      </c>
      <c r="D316">
        <v>172.27483355525999</v>
      </c>
    </row>
    <row r="317" spans="1:4" x14ac:dyDescent="0.3">
      <c r="A317">
        <v>2006</v>
      </c>
      <c r="B317" t="s">
        <v>120</v>
      </c>
      <c r="C317">
        <v>50</v>
      </c>
      <c r="D317">
        <v>231.36910785619199</v>
      </c>
    </row>
    <row r="318" spans="1:4" x14ac:dyDescent="0.3">
      <c r="A318">
        <v>2006</v>
      </c>
      <c r="B318" t="s">
        <v>120</v>
      </c>
      <c r="C318">
        <v>55</v>
      </c>
      <c r="D318">
        <v>261.41704394141101</v>
      </c>
    </row>
    <row r="319" spans="1:4" x14ac:dyDescent="0.3">
      <c r="A319">
        <v>2006</v>
      </c>
      <c r="B319" t="s">
        <v>120</v>
      </c>
      <c r="C319">
        <v>60</v>
      </c>
      <c r="D319">
        <v>251.40106524633799</v>
      </c>
    </row>
    <row r="320" spans="1:4" x14ac:dyDescent="0.3">
      <c r="A320">
        <v>2006</v>
      </c>
      <c r="B320" t="s">
        <v>120</v>
      </c>
      <c r="C320">
        <v>65</v>
      </c>
      <c r="D320">
        <v>318.50812250332899</v>
      </c>
    </row>
    <row r="321" spans="1:4" x14ac:dyDescent="0.3">
      <c r="A321">
        <v>2006</v>
      </c>
      <c r="B321" t="s">
        <v>120</v>
      </c>
      <c r="C321">
        <v>70</v>
      </c>
      <c r="D321">
        <v>289.46178428761698</v>
      </c>
    </row>
    <row r="322" spans="1:4" x14ac:dyDescent="0.3">
      <c r="A322">
        <v>2006</v>
      </c>
      <c r="B322" t="s">
        <v>120</v>
      </c>
      <c r="C322">
        <v>75</v>
      </c>
      <c r="D322">
        <v>340.54327563249001</v>
      </c>
    </row>
    <row r="323" spans="1:4" x14ac:dyDescent="0.3">
      <c r="A323">
        <v>2006</v>
      </c>
      <c r="B323" t="s">
        <v>120</v>
      </c>
      <c r="C323">
        <v>80</v>
      </c>
      <c r="D323">
        <v>334.53368841544602</v>
      </c>
    </row>
    <row r="324" spans="1:4" x14ac:dyDescent="0.3">
      <c r="A324">
        <v>2006</v>
      </c>
      <c r="B324" t="s">
        <v>120</v>
      </c>
      <c r="C324">
        <v>85</v>
      </c>
      <c r="D324">
        <v>423.67589880159801</v>
      </c>
    </row>
    <row r="325" spans="1:4" x14ac:dyDescent="0.3">
      <c r="A325">
        <v>2007</v>
      </c>
      <c r="B325" t="s">
        <v>120</v>
      </c>
      <c r="C325">
        <v>0</v>
      </c>
      <c r="D325">
        <v>295.85507803581203</v>
      </c>
    </row>
    <row r="326" spans="1:4" x14ac:dyDescent="0.3">
      <c r="A326">
        <v>2007</v>
      </c>
      <c r="B326" t="s">
        <v>120</v>
      </c>
      <c r="C326">
        <v>1</v>
      </c>
      <c r="D326">
        <v>56.058507846755496</v>
      </c>
    </row>
    <row r="327" spans="1:4" x14ac:dyDescent="0.3">
      <c r="A327">
        <v>2007</v>
      </c>
      <c r="B327" t="s">
        <v>120</v>
      </c>
      <c r="C327">
        <v>5</v>
      </c>
      <c r="D327">
        <v>29.030298706355499</v>
      </c>
    </row>
    <row r="328" spans="1:4" x14ac:dyDescent="0.3">
      <c r="A328">
        <v>2007</v>
      </c>
      <c r="B328" t="s">
        <v>120</v>
      </c>
      <c r="C328">
        <v>10</v>
      </c>
      <c r="D328">
        <v>37.038656970177698</v>
      </c>
    </row>
    <row r="329" spans="1:4" x14ac:dyDescent="0.3">
      <c r="A329">
        <v>2007</v>
      </c>
      <c r="B329" t="s">
        <v>120</v>
      </c>
      <c r="C329">
        <v>15</v>
      </c>
      <c r="D329">
        <v>85.088806553110999</v>
      </c>
    </row>
    <row r="330" spans="1:4" x14ac:dyDescent="0.3">
      <c r="A330">
        <v>2007</v>
      </c>
      <c r="B330" t="s">
        <v>120</v>
      </c>
      <c r="C330">
        <v>20</v>
      </c>
      <c r="D330">
        <v>112.11701569351099</v>
      </c>
    </row>
    <row r="331" spans="1:4" x14ac:dyDescent="0.3">
      <c r="A331">
        <v>2007</v>
      </c>
      <c r="B331" t="s">
        <v>120</v>
      </c>
      <c r="C331">
        <v>25</v>
      </c>
      <c r="D331">
        <v>107.11179177862201</v>
      </c>
    </row>
    <row r="332" spans="1:4" x14ac:dyDescent="0.3">
      <c r="A332">
        <v>2007</v>
      </c>
      <c r="B332" t="s">
        <v>120</v>
      </c>
      <c r="C332">
        <v>30</v>
      </c>
      <c r="D332">
        <v>103.107612646711</v>
      </c>
    </row>
    <row r="333" spans="1:4" x14ac:dyDescent="0.3">
      <c r="A333">
        <v>2007</v>
      </c>
      <c r="B333" t="s">
        <v>120</v>
      </c>
      <c r="C333">
        <v>35</v>
      </c>
      <c r="D333">
        <v>151.15776222964399</v>
      </c>
    </row>
    <row r="334" spans="1:4" x14ac:dyDescent="0.3">
      <c r="A334">
        <v>2007</v>
      </c>
      <c r="B334" t="s">
        <v>120</v>
      </c>
      <c r="C334">
        <v>40</v>
      </c>
      <c r="D334">
        <v>175.182837021111</v>
      </c>
    </row>
    <row r="335" spans="1:4" x14ac:dyDescent="0.3">
      <c r="A335">
        <v>2007</v>
      </c>
      <c r="B335" t="s">
        <v>120</v>
      </c>
      <c r="C335">
        <v>45</v>
      </c>
      <c r="D335">
        <v>185.193284850889</v>
      </c>
    </row>
    <row r="336" spans="1:4" x14ac:dyDescent="0.3">
      <c r="A336">
        <v>2007</v>
      </c>
      <c r="B336" t="s">
        <v>120</v>
      </c>
      <c r="C336">
        <v>50</v>
      </c>
      <c r="D336">
        <v>272.284180969955</v>
      </c>
    </row>
    <row r="337" spans="1:4" x14ac:dyDescent="0.3">
      <c r="A337">
        <v>2007</v>
      </c>
      <c r="B337" t="s">
        <v>120</v>
      </c>
      <c r="C337">
        <v>55</v>
      </c>
      <c r="D337">
        <v>231.24134486786599</v>
      </c>
    </row>
    <row r="338" spans="1:4" x14ac:dyDescent="0.3">
      <c r="A338">
        <v>2007</v>
      </c>
      <c r="B338" t="s">
        <v>120</v>
      </c>
      <c r="C338">
        <v>60</v>
      </c>
      <c r="D338">
        <v>314.32806185502199</v>
      </c>
    </row>
    <row r="339" spans="1:4" x14ac:dyDescent="0.3">
      <c r="A339">
        <v>2007</v>
      </c>
      <c r="B339" t="s">
        <v>120</v>
      </c>
      <c r="C339">
        <v>65</v>
      </c>
      <c r="D339">
        <v>297.31030054439998</v>
      </c>
    </row>
    <row r="340" spans="1:4" x14ac:dyDescent="0.3">
      <c r="A340">
        <v>2007</v>
      </c>
      <c r="B340" t="s">
        <v>120</v>
      </c>
      <c r="C340">
        <v>70</v>
      </c>
      <c r="D340">
        <v>301.31447967631101</v>
      </c>
    </row>
    <row r="341" spans="1:4" x14ac:dyDescent="0.3">
      <c r="A341">
        <v>2007</v>
      </c>
      <c r="B341" t="s">
        <v>120</v>
      </c>
      <c r="C341">
        <v>75</v>
      </c>
      <c r="D341">
        <v>294.30716619546598</v>
      </c>
    </row>
    <row r="342" spans="1:4" x14ac:dyDescent="0.3">
      <c r="A342">
        <v>2007</v>
      </c>
      <c r="B342" t="s">
        <v>120</v>
      </c>
      <c r="C342">
        <v>80</v>
      </c>
      <c r="D342">
        <v>330.34477838266599</v>
      </c>
    </row>
    <row r="343" spans="1:4" x14ac:dyDescent="0.3">
      <c r="A343">
        <v>2007</v>
      </c>
      <c r="B343" t="s">
        <v>120</v>
      </c>
      <c r="C343">
        <v>85</v>
      </c>
      <c r="D343">
        <v>454.474331471911</v>
      </c>
    </row>
    <row r="344" spans="1:4" x14ac:dyDescent="0.3">
      <c r="A344">
        <v>2008</v>
      </c>
      <c r="B344" t="s">
        <v>120</v>
      </c>
      <c r="C344">
        <v>0</v>
      </c>
      <c r="D344">
        <v>281.84784483778401</v>
      </c>
    </row>
    <row r="345" spans="1:4" x14ac:dyDescent="0.3">
      <c r="A345">
        <v>2008</v>
      </c>
      <c r="B345" t="s">
        <v>120</v>
      </c>
      <c r="C345">
        <v>1</v>
      </c>
      <c r="D345">
        <v>38.036870163234099</v>
      </c>
    </row>
    <row r="346" spans="1:4" x14ac:dyDescent="0.3">
      <c r="A346">
        <v>2008</v>
      </c>
      <c r="B346" t="s">
        <v>120</v>
      </c>
      <c r="C346">
        <v>5</v>
      </c>
      <c r="D346">
        <v>24.023286418884702</v>
      </c>
    </row>
    <row r="347" spans="1:4" x14ac:dyDescent="0.3">
      <c r="A347">
        <v>2008</v>
      </c>
      <c r="B347" t="s">
        <v>120</v>
      </c>
      <c r="C347">
        <v>10</v>
      </c>
      <c r="D347">
        <v>24.023286418884702</v>
      </c>
    </row>
    <row r="348" spans="1:4" x14ac:dyDescent="0.3">
      <c r="A348">
        <v>2008</v>
      </c>
      <c r="B348" t="s">
        <v>120</v>
      </c>
      <c r="C348">
        <v>15</v>
      </c>
      <c r="D348">
        <v>104.10090781516701</v>
      </c>
    </row>
    <row r="349" spans="1:4" x14ac:dyDescent="0.3">
      <c r="A349">
        <v>2008</v>
      </c>
      <c r="B349" t="s">
        <v>120</v>
      </c>
      <c r="C349">
        <v>20</v>
      </c>
      <c r="D349">
        <v>124.120313164238</v>
      </c>
    </row>
    <row r="350" spans="1:4" x14ac:dyDescent="0.3">
      <c r="A350">
        <v>2008</v>
      </c>
      <c r="B350" t="s">
        <v>120</v>
      </c>
      <c r="C350">
        <v>25</v>
      </c>
      <c r="D350">
        <v>105.101878082621</v>
      </c>
    </row>
    <row r="351" spans="1:4" x14ac:dyDescent="0.3">
      <c r="A351">
        <v>2008</v>
      </c>
      <c r="B351" t="s">
        <v>120</v>
      </c>
      <c r="C351">
        <v>30</v>
      </c>
      <c r="D351">
        <v>118.114491559516</v>
      </c>
    </row>
    <row r="352" spans="1:4" x14ac:dyDescent="0.3">
      <c r="A352">
        <v>2008</v>
      </c>
      <c r="B352" t="s">
        <v>120</v>
      </c>
      <c r="C352">
        <v>35</v>
      </c>
      <c r="D352">
        <v>149.144569850576</v>
      </c>
    </row>
    <row r="353" spans="1:4" x14ac:dyDescent="0.3">
      <c r="A353">
        <v>2008</v>
      </c>
      <c r="B353" t="s">
        <v>120</v>
      </c>
      <c r="C353">
        <v>40</v>
      </c>
      <c r="D353">
        <v>183.17755894399599</v>
      </c>
    </row>
    <row r="354" spans="1:4" x14ac:dyDescent="0.3">
      <c r="A354">
        <v>2008</v>
      </c>
      <c r="B354" t="s">
        <v>120</v>
      </c>
      <c r="C354">
        <v>45</v>
      </c>
      <c r="D354">
        <v>216.20957776996201</v>
      </c>
    </row>
    <row r="355" spans="1:4" x14ac:dyDescent="0.3">
      <c r="A355">
        <v>2008</v>
      </c>
      <c r="B355" t="s">
        <v>120</v>
      </c>
      <c r="C355">
        <v>50</v>
      </c>
      <c r="D355">
        <v>246.23868579356801</v>
      </c>
    </row>
    <row r="356" spans="1:4" x14ac:dyDescent="0.3">
      <c r="A356">
        <v>2008</v>
      </c>
      <c r="B356" t="s">
        <v>120</v>
      </c>
      <c r="C356">
        <v>55</v>
      </c>
      <c r="D356">
        <v>258.25032900301102</v>
      </c>
    </row>
    <row r="357" spans="1:4" x14ac:dyDescent="0.3">
      <c r="A357">
        <v>2008</v>
      </c>
      <c r="B357" t="s">
        <v>120</v>
      </c>
      <c r="C357">
        <v>60</v>
      </c>
      <c r="D357">
        <v>288.27943702661599</v>
      </c>
    </row>
    <row r="358" spans="1:4" x14ac:dyDescent="0.3">
      <c r="A358">
        <v>2008</v>
      </c>
      <c r="B358" t="s">
        <v>120</v>
      </c>
      <c r="C358">
        <v>65</v>
      </c>
      <c r="D358">
        <v>345.33474227146797</v>
      </c>
    </row>
    <row r="359" spans="1:4" x14ac:dyDescent="0.3">
      <c r="A359">
        <v>2008</v>
      </c>
      <c r="B359" t="s">
        <v>120</v>
      </c>
      <c r="C359">
        <v>70</v>
      </c>
      <c r="D359">
        <v>329.31921799221101</v>
      </c>
    </row>
    <row r="360" spans="1:4" x14ac:dyDescent="0.3">
      <c r="A360">
        <v>2008</v>
      </c>
      <c r="B360" t="s">
        <v>120</v>
      </c>
      <c r="C360">
        <v>75</v>
      </c>
      <c r="D360">
        <v>390.37840430687601</v>
      </c>
    </row>
    <row r="361" spans="1:4" x14ac:dyDescent="0.3">
      <c r="A361">
        <v>2008</v>
      </c>
      <c r="B361" t="s">
        <v>120</v>
      </c>
      <c r="C361">
        <v>80</v>
      </c>
      <c r="D361">
        <v>354.343474678549</v>
      </c>
    </row>
    <row r="362" spans="1:4" x14ac:dyDescent="0.3">
      <c r="A362">
        <v>2008</v>
      </c>
      <c r="B362" t="s">
        <v>120</v>
      </c>
      <c r="C362">
        <v>85</v>
      </c>
      <c r="D362">
        <v>546.52976602962701</v>
      </c>
    </row>
    <row r="363" spans="1:4" x14ac:dyDescent="0.3">
      <c r="A363">
        <v>2009</v>
      </c>
      <c r="B363" t="s">
        <v>120</v>
      </c>
      <c r="C363">
        <v>0</v>
      </c>
      <c r="D363">
        <v>270.42684372776898</v>
      </c>
    </row>
    <row r="364" spans="1:4" x14ac:dyDescent="0.3">
      <c r="A364">
        <v>2009</v>
      </c>
      <c r="B364" t="s">
        <v>120</v>
      </c>
      <c r="C364">
        <v>1</v>
      </c>
      <c r="D364">
        <v>64.101177772508095</v>
      </c>
    </row>
    <row r="365" spans="1:4" x14ac:dyDescent="0.3">
      <c r="A365">
        <v>2009</v>
      </c>
      <c r="B365" t="s">
        <v>120</v>
      </c>
      <c r="C365">
        <v>5</v>
      </c>
      <c r="D365">
        <v>27.0426843727769</v>
      </c>
    </row>
    <row r="366" spans="1:4" x14ac:dyDescent="0.3">
      <c r="A366">
        <v>2009</v>
      </c>
      <c r="B366" t="s">
        <v>120</v>
      </c>
      <c r="C366">
        <v>10</v>
      </c>
      <c r="D366">
        <v>36.056912497035803</v>
      </c>
    </row>
    <row r="367" spans="1:4" x14ac:dyDescent="0.3">
      <c r="A367">
        <v>2009</v>
      </c>
      <c r="B367" t="s">
        <v>120</v>
      </c>
      <c r="C367">
        <v>15</v>
      </c>
      <c r="D367">
        <v>113.178642004585</v>
      </c>
    </row>
    <row r="368" spans="1:4" x14ac:dyDescent="0.3">
      <c r="A368">
        <v>2009</v>
      </c>
      <c r="B368" t="s">
        <v>120</v>
      </c>
      <c r="C368">
        <v>20</v>
      </c>
      <c r="D368">
        <v>133.21026005849299</v>
      </c>
    </row>
    <row r="369" spans="1:4" x14ac:dyDescent="0.3">
      <c r="A369">
        <v>2009</v>
      </c>
      <c r="B369" t="s">
        <v>120</v>
      </c>
      <c r="C369">
        <v>25</v>
      </c>
      <c r="D369">
        <v>87.137538534503193</v>
      </c>
    </row>
    <row r="370" spans="1:4" x14ac:dyDescent="0.3">
      <c r="A370">
        <v>2009</v>
      </c>
      <c r="B370" t="s">
        <v>120</v>
      </c>
      <c r="C370">
        <v>30</v>
      </c>
      <c r="D370">
        <v>136.21500276658</v>
      </c>
    </row>
    <row r="371" spans="1:4" x14ac:dyDescent="0.3">
      <c r="A371">
        <v>2009</v>
      </c>
      <c r="B371" t="s">
        <v>120</v>
      </c>
      <c r="C371">
        <v>35</v>
      </c>
      <c r="D371">
        <v>166.262429847443</v>
      </c>
    </row>
    <row r="372" spans="1:4" x14ac:dyDescent="0.3">
      <c r="A372">
        <v>2009</v>
      </c>
      <c r="B372" t="s">
        <v>120</v>
      </c>
      <c r="C372">
        <v>40</v>
      </c>
      <c r="D372">
        <v>167.264010750138</v>
      </c>
    </row>
    <row r="373" spans="1:4" x14ac:dyDescent="0.3">
      <c r="A373">
        <v>2009</v>
      </c>
      <c r="B373" t="s">
        <v>120</v>
      </c>
      <c r="C373">
        <v>45</v>
      </c>
      <c r="D373">
        <v>222.350960398387</v>
      </c>
    </row>
    <row r="374" spans="1:4" x14ac:dyDescent="0.3">
      <c r="A374">
        <v>2009</v>
      </c>
      <c r="B374" t="s">
        <v>120</v>
      </c>
      <c r="C374">
        <v>50</v>
      </c>
      <c r="D374">
        <v>272.43000553315898</v>
      </c>
    </row>
    <row r="375" spans="1:4" x14ac:dyDescent="0.3">
      <c r="A375">
        <v>2009</v>
      </c>
      <c r="B375" t="s">
        <v>120</v>
      </c>
      <c r="C375">
        <v>55</v>
      </c>
      <c r="D375">
        <v>300.47427080863201</v>
      </c>
    </row>
    <row r="376" spans="1:4" x14ac:dyDescent="0.3">
      <c r="A376">
        <v>2009</v>
      </c>
      <c r="B376" t="s">
        <v>120</v>
      </c>
      <c r="C376">
        <v>60</v>
      </c>
      <c r="D376">
        <v>329.520116986799</v>
      </c>
    </row>
    <row r="377" spans="1:4" x14ac:dyDescent="0.3">
      <c r="A377">
        <v>2009</v>
      </c>
      <c r="B377" t="s">
        <v>120</v>
      </c>
      <c r="C377">
        <v>65</v>
      </c>
      <c r="D377">
        <v>307.48533712749997</v>
      </c>
    </row>
    <row r="378" spans="1:4" x14ac:dyDescent="0.3">
      <c r="A378">
        <v>2009</v>
      </c>
      <c r="B378" t="s">
        <v>120</v>
      </c>
      <c r="C378">
        <v>70</v>
      </c>
      <c r="D378">
        <v>335.52960240297199</v>
      </c>
    </row>
    <row r="379" spans="1:4" x14ac:dyDescent="0.3">
      <c r="A379">
        <v>2009</v>
      </c>
      <c r="B379" t="s">
        <v>120</v>
      </c>
      <c r="C379">
        <v>75</v>
      </c>
      <c r="D379">
        <v>364.57544858113999</v>
      </c>
    </row>
    <row r="380" spans="1:4" x14ac:dyDescent="0.3">
      <c r="A380">
        <v>2009</v>
      </c>
      <c r="B380" t="s">
        <v>120</v>
      </c>
      <c r="C380">
        <v>80</v>
      </c>
      <c r="D380">
        <v>350.55331594340402</v>
      </c>
    </row>
    <row r="381" spans="1:4" x14ac:dyDescent="0.3">
      <c r="A381">
        <v>2009</v>
      </c>
      <c r="B381" t="s">
        <v>120</v>
      </c>
      <c r="C381">
        <v>85</v>
      </c>
      <c r="D381">
        <v>539.85210655284197</v>
      </c>
    </row>
    <row r="382" spans="1:4" x14ac:dyDescent="0.3">
      <c r="A382">
        <v>2010</v>
      </c>
      <c r="B382" t="s">
        <v>120</v>
      </c>
      <c r="C382">
        <v>0</v>
      </c>
      <c r="D382">
        <v>267.14662757131498</v>
      </c>
    </row>
    <row r="383" spans="1:4" x14ac:dyDescent="0.3">
      <c r="A383">
        <v>2010</v>
      </c>
      <c r="B383" t="s">
        <v>120</v>
      </c>
      <c r="C383">
        <v>1</v>
      </c>
      <c r="D383">
        <v>43.009806856528598</v>
      </c>
    </row>
    <row r="384" spans="1:4" x14ac:dyDescent="0.3">
      <c r="A384">
        <v>2010</v>
      </c>
      <c r="B384" t="s">
        <v>120</v>
      </c>
      <c r="C384">
        <v>5</v>
      </c>
      <c r="D384">
        <v>27.006157793634198</v>
      </c>
    </row>
    <row r="385" spans="1:4" x14ac:dyDescent="0.3">
      <c r="A385">
        <v>2010</v>
      </c>
      <c r="B385" t="s">
        <v>120</v>
      </c>
      <c r="C385">
        <v>10</v>
      </c>
      <c r="D385">
        <v>36.0082103915123</v>
      </c>
    </row>
    <row r="386" spans="1:4" x14ac:dyDescent="0.3">
      <c r="A386">
        <v>2010</v>
      </c>
      <c r="B386" t="s">
        <v>120</v>
      </c>
      <c r="C386">
        <v>15</v>
      </c>
      <c r="D386">
        <v>104.023718908813</v>
      </c>
    </row>
    <row r="387" spans="1:4" x14ac:dyDescent="0.3">
      <c r="A387">
        <v>2010</v>
      </c>
      <c r="B387" t="s">
        <v>120</v>
      </c>
      <c r="C387">
        <v>20</v>
      </c>
      <c r="D387">
        <v>120.027367971708</v>
      </c>
    </row>
    <row r="388" spans="1:4" x14ac:dyDescent="0.3">
      <c r="A388">
        <v>2010</v>
      </c>
      <c r="B388" t="s">
        <v>120</v>
      </c>
      <c r="C388">
        <v>25</v>
      </c>
      <c r="D388">
        <v>120.027367971708</v>
      </c>
    </row>
    <row r="389" spans="1:4" x14ac:dyDescent="0.3">
      <c r="A389">
        <v>2010</v>
      </c>
      <c r="B389" t="s">
        <v>120</v>
      </c>
      <c r="C389">
        <v>30</v>
      </c>
      <c r="D389">
        <v>144.032841566049</v>
      </c>
    </row>
    <row r="390" spans="1:4" x14ac:dyDescent="0.3">
      <c r="A390">
        <v>2010</v>
      </c>
      <c r="B390" t="s">
        <v>120</v>
      </c>
      <c r="C390">
        <v>35</v>
      </c>
      <c r="D390">
        <v>168.03831516039099</v>
      </c>
    </row>
    <row r="391" spans="1:4" x14ac:dyDescent="0.3">
      <c r="A391">
        <v>2010</v>
      </c>
      <c r="B391" t="s">
        <v>120</v>
      </c>
      <c r="C391">
        <v>40</v>
      </c>
      <c r="D391">
        <v>189.04310455544001</v>
      </c>
    </row>
    <row r="392" spans="1:4" x14ac:dyDescent="0.3">
      <c r="A392">
        <v>2010</v>
      </c>
      <c r="B392" t="s">
        <v>120</v>
      </c>
      <c r="C392">
        <v>45</v>
      </c>
      <c r="D392">
        <v>219.04994654836699</v>
      </c>
    </row>
    <row r="393" spans="1:4" x14ac:dyDescent="0.3">
      <c r="A393">
        <v>2010</v>
      </c>
      <c r="B393" t="s">
        <v>120</v>
      </c>
      <c r="C393">
        <v>50</v>
      </c>
      <c r="D393">
        <v>290.66793623439003</v>
      </c>
    </row>
    <row r="394" spans="1:4" x14ac:dyDescent="0.3">
      <c r="A394">
        <v>2010</v>
      </c>
      <c r="B394" t="s">
        <v>120</v>
      </c>
      <c r="C394">
        <v>55</v>
      </c>
      <c r="D394">
        <v>285.06499893280602</v>
      </c>
    </row>
    <row r="395" spans="1:4" x14ac:dyDescent="0.3">
      <c r="A395">
        <v>2010</v>
      </c>
      <c r="B395" t="s">
        <v>120</v>
      </c>
      <c r="C395">
        <v>60</v>
      </c>
      <c r="D395">
        <v>297.06773572997702</v>
      </c>
    </row>
    <row r="396" spans="1:4" x14ac:dyDescent="0.3">
      <c r="A396">
        <v>2010</v>
      </c>
      <c r="B396" t="s">
        <v>120</v>
      </c>
      <c r="C396">
        <v>65</v>
      </c>
      <c r="D396">
        <v>343.07822678579799</v>
      </c>
    </row>
    <row r="397" spans="1:4" x14ac:dyDescent="0.3">
      <c r="A397">
        <v>2010</v>
      </c>
      <c r="B397" t="s">
        <v>120</v>
      </c>
      <c r="C397">
        <v>70</v>
      </c>
      <c r="D397">
        <v>337.07685838721301</v>
      </c>
    </row>
    <row r="398" spans="1:4" x14ac:dyDescent="0.3">
      <c r="A398">
        <v>2010</v>
      </c>
      <c r="B398" t="s">
        <v>120</v>
      </c>
      <c r="C398">
        <v>75</v>
      </c>
      <c r="D398">
        <v>373.08506877872497</v>
      </c>
    </row>
    <row r="399" spans="1:4" x14ac:dyDescent="0.3">
      <c r="A399">
        <v>2010</v>
      </c>
      <c r="B399" t="s">
        <v>120</v>
      </c>
      <c r="C399">
        <v>80</v>
      </c>
      <c r="D399">
        <v>385.08780557589603</v>
      </c>
    </row>
    <row r="400" spans="1:4" x14ac:dyDescent="0.3">
      <c r="A400">
        <v>2010</v>
      </c>
      <c r="B400" t="s">
        <v>120</v>
      </c>
      <c r="C400">
        <v>85</v>
      </c>
      <c r="D400">
        <v>637.14527831648195</v>
      </c>
    </row>
    <row r="401" spans="1:4" x14ac:dyDescent="0.3">
      <c r="A401">
        <v>2011</v>
      </c>
      <c r="B401" t="s">
        <v>120</v>
      </c>
      <c r="C401">
        <v>0</v>
      </c>
      <c r="D401">
        <v>268.981642646941</v>
      </c>
    </row>
    <row r="402" spans="1:4" x14ac:dyDescent="0.3">
      <c r="A402">
        <v>2011</v>
      </c>
      <c r="B402" t="s">
        <v>120</v>
      </c>
      <c r="C402">
        <v>1</v>
      </c>
      <c r="D402">
        <v>43.036624813996397</v>
      </c>
    </row>
    <row r="403" spans="1:4" x14ac:dyDescent="0.3">
      <c r="A403">
        <v>2011</v>
      </c>
      <c r="B403" t="s">
        <v>120</v>
      </c>
      <c r="C403">
        <v>5</v>
      </c>
      <c r="D403">
        <v>28.023848716090701</v>
      </c>
    </row>
    <row r="404" spans="1:4" x14ac:dyDescent="0.3">
      <c r="A404">
        <v>2011</v>
      </c>
      <c r="B404" t="s">
        <v>120</v>
      </c>
      <c r="C404">
        <v>10</v>
      </c>
      <c r="D404">
        <v>31.026403935671802</v>
      </c>
    </row>
    <row r="405" spans="1:4" x14ac:dyDescent="0.3">
      <c r="A405">
        <v>2011</v>
      </c>
      <c r="B405" t="s">
        <v>120</v>
      </c>
      <c r="C405">
        <v>15</v>
      </c>
      <c r="D405">
        <v>110.093691384642</v>
      </c>
    </row>
    <row r="406" spans="1:4" x14ac:dyDescent="0.3">
      <c r="A406">
        <v>2011</v>
      </c>
      <c r="B406" t="s">
        <v>120</v>
      </c>
      <c r="C406">
        <v>20</v>
      </c>
      <c r="D406">
        <v>122.103912262967</v>
      </c>
    </row>
    <row r="407" spans="1:4" x14ac:dyDescent="0.3">
      <c r="A407">
        <v>2011</v>
      </c>
      <c r="B407" t="s">
        <v>120</v>
      </c>
      <c r="C407">
        <v>25</v>
      </c>
      <c r="D407">
        <v>136.11583662101199</v>
      </c>
    </row>
    <row r="408" spans="1:4" x14ac:dyDescent="0.3">
      <c r="A408">
        <v>2011</v>
      </c>
      <c r="B408" t="s">
        <v>120</v>
      </c>
      <c r="C408">
        <v>30</v>
      </c>
      <c r="D408">
        <v>147.12520575947599</v>
      </c>
    </row>
    <row r="409" spans="1:4" x14ac:dyDescent="0.3">
      <c r="A409">
        <v>2011</v>
      </c>
      <c r="B409" t="s">
        <v>120</v>
      </c>
      <c r="C409">
        <v>35</v>
      </c>
      <c r="D409">
        <v>196.16694101263499</v>
      </c>
    </row>
    <row r="410" spans="1:4" x14ac:dyDescent="0.3">
      <c r="A410">
        <v>2011</v>
      </c>
      <c r="B410" t="s">
        <v>120</v>
      </c>
      <c r="C410">
        <v>40</v>
      </c>
      <c r="D410">
        <v>213.18142059026101</v>
      </c>
    </row>
    <row r="411" spans="1:4" x14ac:dyDescent="0.3">
      <c r="A411">
        <v>2011</v>
      </c>
      <c r="B411" t="s">
        <v>120</v>
      </c>
      <c r="C411">
        <v>45</v>
      </c>
      <c r="D411">
        <v>247.21037974551399</v>
      </c>
    </row>
    <row r="412" spans="1:4" x14ac:dyDescent="0.3">
      <c r="A412">
        <v>2011</v>
      </c>
      <c r="B412" t="s">
        <v>120</v>
      </c>
      <c r="C412">
        <v>50</v>
      </c>
      <c r="D412">
        <v>259.220600623839</v>
      </c>
    </row>
    <row r="413" spans="1:4" x14ac:dyDescent="0.3">
      <c r="A413">
        <v>2011</v>
      </c>
      <c r="B413" t="s">
        <v>120</v>
      </c>
      <c r="C413">
        <v>55</v>
      </c>
      <c r="D413">
        <v>306.26063239727699</v>
      </c>
    </row>
    <row r="414" spans="1:4" x14ac:dyDescent="0.3">
      <c r="A414">
        <v>2011</v>
      </c>
      <c r="B414" t="s">
        <v>120</v>
      </c>
      <c r="C414">
        <v>60</v>
      </c>
      <c r="D414">
        <v>302.25722543783502</v>
      </c>
    </row>
    <row r="415" spans="1:4" x14ac:dyDescent="0.3">
      <c r="A415">
        <v>2011</v>
      </c>
      <c r="B415" t="s">
        <v>120</v>
      </c>
      <c r="C415">
        <v>65</v>
      </c>
      <c r="D415">
        <v>383.32621636652601</v>
      </c>
    </row>
    <row r="416" spans="1:4" x14ac:dyDescent="0.3">
      <c r="A416">
        <v>2011</v>
      </c>
      <c r="B416" t="s">
        <v>120</v>
      </c>
      <c r="C416">
        <v>70</v>
      </c>
      <c r="D416">
        <v>356.30321939029602</v>
      </c>
    </row>
    <row r="417" spans="1:4" x14ac:dyDescent="0.3">
      <c r="A417">
        <v>2011</v>
      </c>
      <c r="B417" t="s">
        <v>120</v>
      </c>
      <c r="C417">
        <v>75</v>
      </c>
      <c r="D417">
        <v>331.28192589378602</v>
      </c>
    </row>
    <row r="418" spans="1:4" x14ac:dyDescent="0.3">
      <c r="A418">
        <v>2011</v>
      </c>
      <c r="B418" t="s">
        <v>120</v>
      </c>
      <c r="C418">
        <v>80</v>
      </c>
      <c r="D418">
        <v>356.30321939029602</v>
      </c>
    </row>
    <row r="419" spans="1:4" x14ac:dyDescent="0.3">
      <c r="A419">
        <v>2011</v>
      </c>
      <c r="B419" t="s">
        <v>120</v>
      </c>
      <c r="C419">
        <v>85</v>
      </c>
      <c r="D419">
        <v>568.48378824069698</v>
      </c>
    </row>
    <row r="420" spans="1:4" x14ac:dyDescent="0.3">
      <c r="A420">
        <v>2012</v>
      </c>
      <c r="B420" t="s">
        <v>120</v>
      </c>
      <c r="C420">
        <v>0</v>
      </c>
      <c r="D420">
        <v>282.11979609175899</v>
      </c>
    </row>
    <row r="421" spans="1:4" x14ac:dyDescent="0.3">
      <c r="A421">
        <v>2012</v>
      </c>
      <c r="B421" t="s">
        <v>120</v>
      </c>
      <c r="C421">
        <v>1</v>
      </c>
      <c r="D421">
        <v>40.016992353440997</v>
      </c>
    </row>
    <row r="422" spans="1:4" x14ac:dyDescent="0.3">
      <c r="A422">
        <v>2012</v>
      </c>
      <c r="B422" t="s">
        <v>120</v>
      </c>
      <c r="C422">
        <v>5</v>
      </c>
      <c r="D422">
        <v>28.011894647408699</v>
      </c>
    </row>
    <row r="423" spans="1:4" x14ac:dyDescent="0.3">
      <c r="A423">
        <v>2012</v>
      </c>
      <c r="B423" t="s">
        <v>120</v>
      </c>
      <c r="C423">
        <v>10</v>
      </c>
      <c r="D423">
        <v>29.0123194562447</v>
      </c>
    </row>
    <row r="424" spans="1:4" x14ac:dyDescent="0.3">
      <c r="A424">
        <v>2012</v>
      </c>
      <c r="B424" t="s">
        <v>120</v>
      </c>
      <c r="C424">
        <v>15</v>
      </c>
      <c r="D424">
        <v>108.045879354291</v>
      </c>
    </row>
    <row r="425" spans="1:4" x14ac:dyDescent="0.3">
      <c r="A425">
        <v>2012</v>
      </c>
      <c r="B425" t="s">
        <v>120</v>
      </c>
      <c r="C425">
        <v>20</v>
      </c>
      <c r="D425">
        <v>155.065845369584</v>
      </c>
    </row>
    <row r="426" spans="1:4" x14ac:dyDescent="0.3">
      <c r="A426">
        <v>2012</v>
      </c>
      <c r="B426" t="s">
        <v>120</v>
      </c>
      <c r="C426">
        <v>25</v>
      </c>
      <c r="D426">
        <v>134.05692438402701</v>
      </c>
    </row>
    <row r="427" spans="1:4" x14ac:dyDescent="0.3">
      <c r="A427">
        <v>2012</v>
      </c>
      <c r="B427" t="s">
        <v>120</v>
      </c>
      <c r="C427">
        <v>30</v>
      </c>
      <c r="D427">
        <v>133.056499575191</v>
      </c>
    </row>
    <row r="428" spans="1:4" x14ac:dyDescent="0.3">
      <c r="A428">
        <v>2012</v>
      </c>
      <c r="B428" t="s">
        <v>120</v>
      </c>
      <c r="C428">
        <v>35</v>
      </c>
      <c r="D428">
        <v>189.08028887000901</v>
      </c>
    </row>
    <row r="429" spans="1:4" x14ac:dyDescent="0.3">
      <c r="A429">
        <v>2012</v>
      </c>
      <c r="B429" t="s">
        <v>120</v>
      </c>
      <c r="C429">
        <v>40</v>
      </c>
      <c r="D429">
        <v>186.0790144435</v>
      </c>
    </row>
    <row r="430" spans="1:4" x14ac:dyDescent="0.3">
      <c r="A430">
        <v>2012</v>
      </c>
      <c r="B430" t="s">
        <v>120</v>
      </c>
      <c r="C430">
        <v>45</v>
      </c>
      <c r="D430">
        <v>273.11597281223402</v>
      </c>
    </row>
    <row r="431" spans="1:4" x14ac:dyDescent="0.3">
      <c r="A431">
        <v>2012</v>
      </c>
      <c r="B431" t="s">
        <v>120</v>
      </c>
      <c r="C431">
        <v>50</v>
      </c>
      <c r="D431">
        <v>306.12999150382302</v>
      </c>
    </row>
    <row r="432" spans="1:4" x14ac:dyDescent="0.3">
      <c r="A432">
        <v>2012</v>
      </c>
      <c r="B432" t="s">
        <v>120</v>
      </c>
      <c r="C432">
        <v>55</v>
      </c>
      <c r="D432">
        <v>332.14103653356</v>
      </c>
    </row>
    <row r="433" spans="1:4" x14ac:dyDescent="0.3">
      <c r="A433">
        <v>2012</v>
      </c>
      <c r="B433" t="s">
        <v>120</v>
      </c>
      <c r="C433">
        <v>60</v>
      </c>
      <c r="D433">
        <v>349.14825828377201</v>
      </c>
    </row>
    <row r="434" spans="1:4" x14ac:dyDescent="0.3">
      <c r="A434">
        <v>2012</v>
      </c>
      <c r="B434" t="s">
        <v>120</v>
      </c>
      <c r="C434">
        <v>65</v>
      </c>
      <c r="D434">
        <v>341.144859813084</v>
      </c>
    </row>
    <row r="435" spans="1:4" x14ac:dyDescent="0.3">
      <c r="A435">
        <v>2012</v>
      </c>
      <c r="B435" t="s">
        <v>120</v>
      </c>
      <c r="C435">
        <v>70</v>
      </c>
      <c r="D435">
        <v>375.15930331350899</v>
      </c>
    </row>
    <row r="436" spans="1:4" x14ac:dyDescent="0.3">
      <c r="A436">
        <v>2012</v>
      </c>
      <c r="B436" t="s">
        <v>120</v>
      </c>
      <c r="C436">
        <v>75</v>
      </c>
      <c r="D436">
        <v>425.18054375531</v>
      </c>
    </row>
    <row r="437" spans="1:4" x14ac:dyDescent="0.3">
      <c r="A437">
        <v>2012</v>
      </c>
      <c r="B437" t="s">
        <v>120</v>
      </c>
      <c r="C437">
        <v>80</v>
      </c>
      <c r="D437">
        <v>439.18649107901399</v>
      </c>
    </row>
    <row r="438" spans="1:4" x14ac:dyDescent="0.3">
      <c r="A438">
        <v>2012</v>
      </c>
      <c r="B438" t="s">
        <v>120</v>
      </c>
      <c r="C438">
        <v>85</v>
      </c>
      <c r="D438">
        <v>584.24808836023794</v>
      </c>
    </row>
    <row r="439" spans="1:4" x14ac:dyDescent="0.3">
      <c r="A439">
        <v>2013</v>
      </c>
      <c r="B439" t="s">
        <v>120</v>
      </c>
      <c r="C439">
        <v>0</v>
      </c>
      <c r="D439">
        <v>284.28826634185998</v>
      </c>
    </row>
    <row r="440" spans="1:4" x14ac:dyDescent="0.3">
      <c r="A440">
        <v>2013</v>
      </c>
      <c r="B440" t="s">
        <v>120</v>
      </c>
      <c r="C440">
        <v>1</v>
      </c>
      <c r="D440">
        <v>53.053796183515999</v>
      </c>
    </row>
    <row r="441" spans="1:4" x14ac:dyDescent="0.3">
      <c r="A441">
        <v>2013</v>
      </c>
      <c r="B441" t="s">
        <v>120</v>
      </c>
      <c r="C441">
        <v>5</v>
      </c>
      <c r="D441">
        <v>19.0192854242793</v>
      </c>
    </row>
    <row r="442" spans="1:4" x14ac:dyDescent="0.3">
      <c r="A442">
        <v>2013</v>
      </c>
      <c r="B442" t="s">
        <v>120</v>
      </c>
      <c r="C442">
        <v>10</v>
      </c>
      <c r="D442">
        <v>22.0223304912708</v>
      </c>
    </row>
    <row r="443" spans="1:4" x14ac:dyDescent="0.3">
      <c r="A443">
        <v>2013</v>
      </c>
      <c r="B443" t="s">
        <v>120</v>
      </c>
      <c r="C443">
        <v>15</v>
      </c>
      <c r="D443">
        <v>81.0822168087698</v>
      </c>
    </row>
    <row r="444" spans="1:4" x14ac:dyDescent="0.3">
      <c r="A444">
        <v>2013</v>
      </c>
      <c r="B444" t="s">
        <v>120</v>
      </c>
      <c r="C444">
        <v>20</v>
      </c>
      <c r="D444">
        <v>129.13093788063301</v>
      </c>
    </row>
    <row r="445" spans="1:4" x14ac:dyDescent="0.3">
      <c r="A445">
        <v>2013</v>
      </c>
      <c r="B445" t="s">
        <v>120</v>
      </c>
      <c r="C445">
        <v>25</v>
      </c>
      <c r="D445">
        <v>121.12281770198901</v>
      </c>
    </row>
    <row r="446" spans="1:4" x14ac:dyDescent="0.3">
      <c r="A446">
        <v>2013</v>
      </c>
      <c r="B446" t="s">
        <v>120</v>
      </c>
      <c r="C446">
        <v>30</v>
      </c>
      <c r="D446">
        <v>163.16544863986999</v>
      </c>
    </row>
    <row r="447" spans="1:4" x14ac:dyDescent="0.3">
      <c r="A447">
        <v>2013</v>
      </c>
      <c r="B447" t="s">
        <v>120</v>
      </c>
      <c r="C447">
        <v>35</v>
      </c>
      <c r="D447">
        <v>180.182704019488</v>
      </c>
    </row>
    <row r="448" spans="1:4" x14ac:dyDescent="0.3">
      <c r="A448">
        <v>2013</v>
      </c>
      <c r="B448" t="s">
        <v>120</v>
      </c>
      <c r="C448">
        <v>40</v>
      </c>
      <c r="D448">
        <v>198.200974421437</v>
      </c>
    </row>
    <row r="449" spans="1:4" x14ac:dyDescent="0.3">
      <c r="A449">
        <v>2013</v>
      </c>
      <c r="B449" t="s">
        <v>120</v>
      </c>
      <c r="C449">
        <v>45</v>
      </c>
      <c r="D449">
        <v>266.26999593991098</v>
      </c>
    </row>
    <row r="450" spans="1:4" x14ac:dyDescent="0.3">
      <c r="A450">
        <v>2013</v>
      </c>
      <c r="B450" t="s">
        <v>120</v>
      </c>
      <c r="C450">
        <v>50</v>
      </c>
      <c r="D450">
        <v>337.34206252537598</v>
      </c>
    </row>
    <row r="451" spans="1:4" x14ac:dyDescent="0.3">
      <c r="A451">
        <v>2013</v>
      </c>
      <c r="B451" t="s">
        <v>120</v>
      </c>
      <c r="C451">
        <v>55</v>
      </c>
      <c r="D451">
        <v>323.32785221274901</v>
      </c>
    </row>
    <row r="452" spans="1:4" x14ac:dyDescent="0.3">
      <c r="A452">
        <v>2013</v>
      </c>
      <c r="B452" t="s">
        <v>120</v>
      </c>
      <c r="C452">
        <v>60</v>
      </c>
      <c r="D452">
        <v>381.386723507917</v>
      </c>
    </row>
    <row r="453" spans="1:4" x14ac:dyDescent="0.3">
      <c r="A453">
        <v>2013</v>
      </c>
      <c r="B453" t="s">
        <v>120</v>
      </c>
      <c r="C453">
        <v>65</v>
      </c>
      <c r="D453">
        <v>390.39585870889198</v>
      </c>
    </row>
    <row r="454" spans="1:4" x14ac:dyDescent="0.3">
      <c r="A454">
        <v>2013</v>
      </c>
      <c r="B454" t="s">
        <v>120</v>
      </c>
      <c r="C454">
        <v>70</v>
      </c>
      <c r="D454">
        <v>409.415144133171</v>
      </c>
    </row>
    <row r="455" spans="1:4" x14ac:dyDescent="0.3">
      <c r="A455">
        <v>2013</v>
      </c>
      <c r="B455" t="s">
        <v>120</v>
      </c>
      <c r="C455">
        <v>75</v>
      </c>
      <c r="D455">
        <v>434.440519691433</v>
      </c>
    </row>
    <row r="456" spans="1:4" x14ac:dyDescent="0.3">
      <c r="A456">
        <v>2013</v>
      </c>
      <c r="B456" t="s">
        <v>120</v>
      </c>
      <c r="C456">
        <v>80</v>
      </c>
      <c r="D456">
        <v>441.44762484774702</v>
      </c>
    </row>
    <row r="457" spans="1:4" x14ac:dyDescent="0.3">
      <c r="A457">
        <v>2013</v>
      </c>
      <c r="B457" t="s">
        <v>120</v>
      </c>
      <c r="C457">
        <v>85</v>
      </c>
      <c r="D457">
        <v>695.70544051969102</v>
      </c>
    </row>
    <row r="458" spans="1:4" x14ac:dyDescent="0.3">
      <c r="A458">
        <v>2014</v>
      </c>
      <c r="B458" t="s">
        <v>120</v>
      </c>
      <c r="C458">
        <v>0</v>
      </c>
      <c r="D458">
        <v>230.72982697562401</v>
      </c>
    </row>
    <row r="459" spans="1:4" x14ac:dyDescent="0.3">
      <c r="A459">
        <v>2014</v>
      </c>
      <c r="B459" t="s">
        <v>120</v>
      </c>
      <c r="C459">
        <v>1</v>
      </c>
      <c r="D459">
        <v>41.033322886386102</v>
      </c>
    </row>
    <row r="460" spans="1:4" x14ac:dyDescent="0.3">
      <c r="A460">
        <v>2014</v>
      </c>
      <c r="B460" t="s">
        <v>120</v>
      </c>
      <c r="C460">
        <v>5</v>
      </c>
      <c r="D460">
        <v>24.0195060798358</v>
      </c>
    </row>
    <row r="461" spans="1:4" x14ac:dyDescent="0.3">
      <c r="A461">
        <v>2014</v>
      </c>
      <c r="B461" t="s">
        <v>120</v>
      </c>
      <c r="C461">
        <v>10</v>
      </c>
      <c r="D461">
        <v>33.026820859774197</v>
      </c>
    </row>
    <row r="462" spans="1:4" x14ac:dyDescent="0.3">
      <c r="A462">
        <v>2014</v>
      </c>
      <c r="B462" t="s">
        <v>120</v>
      </c>
      <c r="C462">
        <v>15</v>
      </c>
      <c r="D462">
        <v>78.063394759466206</v>
      </c>
    </row>
    <row r="463" spans="1:4" x14ac:dyDescent="0.3">
      <c r="A463">
        <v>2014</v>
      </c>
      <c r="B463" t="s">
        <v>120</v>
      </c>
      <c r="C463">
        <v>20</v>
      </c>
      <c r="D463">
        <v>135.109721699076</v>
      </c>
    </row>
    <row r="464" spans="1:4" x14ac:dyDescent="0.3">
      <c r="A464">
        <v>2014</v>
      </c>
      <c r="B464" t="s">
        <v>120</v>
      </c>
      <c r="C464">
        <v>25</v>
      </c>
      <c r="D464">
        <v>116.09427938587299</v>
      </c>
    </row>
    <row r="465" spans="1:4" x14ac:dyDescent="0.3">
      <c r="A465">
        <v>2014</v>
      </c>
      <c r="B465" t="s">
        <v>120</v>
      </c>
      <c r="C465">
        <v>30</v>
      </c>
      <c r="D465">
        <v>145.117849232341</v>
      </c>
    </row>
    <row r="466" spans="1:4" x14ac:dyDescent="0.3">
      <c r="A466">
        <v>2014</v>
      </c>
      <c r="B466" t="s">
        <v>120</v>
      </c>
      <c r="C466">
        <v>35</v>
      </c>
      <c r="D466">
        <v>182.14792110542101</v>
      </c>
    </row>
    <row r="467" spans="1:4" x14ac:dyDescent="0.3">
      <c r="A467">
        <v>2014</v>
      </c>
      <c r="B467" t="s">
        <v>120</v>
      </c>
      <c r="C467">
        <v>40</v>
      </c>
      <c r="D467">
        <v>231.18774601841901</v>
      </c>
    </row>
    <row r="468" spans="1:4" x14ac:dyDescent="0.3">
      <c r="A468">
        <v>2014</v>
      </c>
      <c r="B468" t="s">
        <v>120</v>
      </c>
      <c r="C468">
        <v>45</v>
      </c>
      <c r="D468">
        <v>259.21050311156102</v>
      </c>
    </row>
    <row r="469" spans="1:4" x14ac:dyDescent="0.3">
      <c r="A469">
        <v>2014</v>
      </c>
      <c r="B469" t="s">
        <v>120</v>
      </c>
      <c r="C469">
        <v>50</v>
      </c>
      <c r="D469">
        <v>314.25520454451799</v>
      </c>
    </row>
    <row r="470" spans="1:4" x14ac:dyDescent="0.3">
      <c r="A470">
        <v>2014</v>
      </c>
      <c r="B470" t="s">
        <v>120</v>
      </c>
      <c r="C470">
        <v>55</v>
      </c>
      <c r="D470">
        <v>373.30315699078102</v>
      </c>
    </row>
    <row r="471" spans="1:4" x14ac:dyDescent="0.3">
      <c r="A471">
        <v>2014</v>
      </c>
      <c r="B471" t="s">
        <v>120</v>
      </c>
      <c r="C471">
        <v>60</v>
      </c>
      <c r="D471">
        <v>368.29909322414801</v>
      </c>
    </row>
    <row r="472" spans="1:4" x14ac:dyDescent="0.3">
      <c r="A472">
        <v>2014</v>
      </c>
      <c r="B472" t="s">
        <v>120</v>
      </c>
      <c r="C472">
        <v>65</v>
      </c>
      <c r="D472">
        <v>397.32266307061701</v>
      </c>
    </row>
    <row r="473" spans="1:4" x14ac:dyDescent="0.3">
      <c r="A473">
        <v>2014</v>
      </c>
      <c r="B473" t="s">
        <v>120</v>
      </c>
      <c r="C473">
        <v>70</v>
      </c>
      <c r="D473">
        <v>411.33404161718698</v>
      </c>
    </row>
    <row r="474" spans="1:4" x14ac:dyDescent="0.3">
      <c r="A474">
        <v>2014</v>
      </c>
      <c r="B474" t="s">
        <v>120</v>
      </c>
      <c r="C474">
        <v>75</v>
      </c>
      <c r="D474">
        <v>449.36492624359403</v>
      </c>
    </row>
    <row r="475" spans="1:4" x14ac:dyDescent="0.3">
      <c r="A475">
        <v>2014</v>
      </c>
      <c r="B475" t="s">
        <v>120</v>
      </c>
      <c r="C475">
        <v>80</v>
      </c>
      <c r="D475">
        <v>437.35517320367597</v>
      </c>
    </row>
    <row r="476" spans="1:4" x14ac:dyDescent="0.3">
      <c r="A476">
        <v>2014</v>
      </c>
      <c r="B476" t="s">
        <v>120</v>
      </c>
      <c r="C476">
        <v>85</v>
      </c>
      <c r="D476">
        <v>698.56730182189006</v>
      </c>
    </row>
    <row r="477" spans="1:4" x14ac:dyDescent="0.3">
      <c r="A477">
        <v>2015</v>
      </c>
      <c r="B477" t="s">
        <v>120</v>
      </c>
      <c r="C477">
        <v>0</v>
      </c>
      <c r="D477">
        <v>270.53173349025298</v>
      </c>
    </row>
    <row r="478" spans="1:4" x14ac:dyDescent="0.3">
      <c r="A478">
        <v>2015</v>
      </c>
      <c r="B478" t="s">
        <v>120</v>
      </c>
      <c r="C478">
        <v>1</v>
      </c>
      <c r="D478">
        <v>27.0531733490253</v>
      </c>
    </row>
    <row r="479" spans="1:4" x14ac:dyDescent="0.3">
      <c r="A479">
        <v>2015</v>
      </c>
      <c r="B479" t="s">
        <v>120</v>
      </c>
      <c r="C479">
        <v>5</v>
      </c>
      <c r="D479">
        <v>19.037418282647401</v>
      </c>
    </row>
    <row r="480" spans="1:4" x14ac:dyDescent="0.3">
      <c r="A480">
        <v>2015</v>
      </c>
      <c r="B480" t="s">
        <v>120</v>
      </c>
      <c r="C480">
        <v>10</v>
      </c>
      <c r="D480">
        <v>22.0433264325391</v>
      </c>
    </row>
    <row r="481" spans="1:4" x14ac:dyDescent="0.3">
      <c r="A481">
        <v>2015</v>
      </c>
      <c r="B481" t="s">
        <v>120</v>
      </c>
      <c r="C481">
        <v>15</v>
      </c>
      <c r="D481">
        <v>92.181183263345403</v>
      </c>
    </row>
    <row r="482" spans="1:4" x14ac:dyDescent="0.3">
      <c r="A482">
        <v>2015</v>
      </c>
      <c r="B482" t="s">
        <v>120</v>
      </c>
      <c r="C482">
        <v>20</v>
      </c>
      <c r="D482">
        <v>166.326917627341</v>
      </c>
    </row>
    <row r="483" spans="1:4" x14ac:dyDescent="0.3">
      <c r="A483">
        <v>2015</v>
      </c>
      <c r="B483" t="s">
        <v>120</v>
      </c>
      <c r="C483">
        <v>25</v>
      </c>
      <c r="D483">
        <v>119.234356612371</v>
      </c>
    </row>
    <row r="484" spans="1:4" x14ac:dyDescent="0.3">
      <c r="A484">
        <v>2015</v>
      </c>
      <c r="B484" t="s">
        <v>120</v>
      </c>
      <c r="C484">
        <v>30</v>
      </c>
      <c r="D484">
        <v>149.293438111288</v>
      </c>
    </row>
    <row r="485" spans="1:4" x14ac:dyDescent="0.3">
      <c r="A485">
        <v>2015</v>
      </c>
      <c r="B485" t="s">
        <v>120</v>
      </c>
      <c r="C485">
        <v>35</v>
      </c>
      <c r="D485">
        <v>200.39387665944599</v>
      </c>
    </row>
    <row r="486" spans="1:4" x14ac:dyDescent="0.3">
      <c r="A486">
        <v>2015</v>
      </c>
      <c r="B486" t="s">
        <v>120</v>
      </c>
      <c r="C486">
        <v>40</v>
      </c>
      <c r="D486">
        <v>225.13816403826499</v>
      </c>
    </row>
    <row r="487" spans="1:4" x14ac:dyDescent="0.3">
      <c r="A487">
        <v>2015</v>
      </c>
      <c r="B487" t="s">
        <v>120</v>
      </c>
      <c r="C487">
        <v>45</v>
      </c>
      <c r="D487">
        <v>279.549457939928</v>
      </c>
    </row>
    <row r="488" spans="1:4" x14ac:dyDescent="0.3">
      <c r="A488">
        <v>2015</v>
      </c>
      <c r="B488" t="s">
        <v>120</v>
      </c>
      <c r="C488">
        <v>50</v>
      </c>
      <c r="D488">
        <v>303.20359631865301</v>
      </c>
    </row>
    <row r="489" spans="1:4" x14ac:dyDescent="0.3">
      <c r="A489">
        <v>2015</v>
      </c>
      <c r="B489" t="s">
        <v>120</v>
      </c>
      <c r="C489">
        <v>55</v>
      </c>
      <c r="D489">
        <v>389.76609010262302</v>
      </c>
    </row>
    <row r="490" spans="1:4" x14ac:dyDescent="0.3">
      <c r="A490">
        <v>2015</v>
      </c>
      <c r="B490" t="s">
        <v>120</v>
      </c>
      <c r="C490">
        <v>60</v>
      </c>
      <c r="D490">
        <v>363.71488613689502</v>
      </c>
    </row>
    <row r="491" spans="1:4" x14ac:dyDescent="0.3">
      <c r="A491">
        <v>2015</v>
      </c>
      <c r="B491" t="s">
        <v>120</v>
      </c>
      <c r="C491">
        <v>65</v>
      </c>
      <c r="D491">
        <v>384.756243186137</v>
      </c>
    </row>
    <row r="492" spans="1:4" x14ac:dyDescent="0.3">
      <c r="A492">
        <v>2015</v>
      </c>
      <c r="B492" t="s">
        <v>120</v>
      </c>
      <c r="C492">
        <v>70</v>
      </c>
      <c r="D492">
        <v>455.896069400241</v>
      </c>
    </row>
    <row r="493" spans="1:4" x14ac:dyDescent="0.3">
      <c r="A493">
        <v>2015</v>
      </c>
      <c r="B493" t="s">
        <v>120</v>
      </c>
      <c r="C493">
        <v>75</v>
      </c>
      <c r="D493">
        <v>418.82320221824301</v>
      </c>
    </row>
    <row r="494" spans="1:4" x14ac:dyDescent="0.3">
      <c r="A494">
        <v>2015</v>
      </c>
      <c r="B494" t="s">
        <v>120</v>
      </c>
      <c r="C494">
        <v>80</v>
      </c>
      <c r="D494">
        <v>471.92757953299599</v>
      </c>
    </row>
    <row r="495" spans="1:4" x14ac:dyDescent="0.3">
      <c r="A495">
        <v>2015</v>
      </c>
      <c r="B495" t="s">
        <v>120</v>
      </c>
      <c r="C495">
        <v>85</v>
      </c>
      <c r="D495">
        <v>728.86098841115802</v>
      </c>
    </row>
    <row r="496" spans="1:4" x14ac:dyDescent="0.3">
      <c r="A496">
        <v>2016</v>
      </c>
      <c r="B496" t="s">
        <v>120</v>
      </c>
      <c r="C496">
        <v>0</v>
      </c>
      <c r="D496">
        <v>247.30631085798299</v>
      </c>
    </row>
    <row r="497" spans="1:4" x14ac:dyDescent="0.3">
      <c r="A497">
        <v>2016</v>
      </c>
      <c r="B497" t="s">
        <v>120</v>
      </c>
      <c r="C497">
        <v>1</v>
      </c>
      <c r="D497">
        <v>40.049604997244202</v>
      </c>
    </row>
    <row r="498" spans="1:4" x14ac:dyDescent="0.3">
      <c r="A498">
        <v>2016</v>
      </c>
      <c r="B498" t="s">
        <v>120</v>
      </c>
      <c r="C498">
        <v>5</v>
      </c>
      <c r="D498">
        <v>28.0347234980709</v>
      </c>
    </row>
    <row r="499" spans="1:4" x14ac:dyDescent="0.3">
      <c r="A499">
        <v>2016</v>
      </c>
      <c r="B499" t="s">
        <v>120</v>
      </c>
      <c r="C499">
        <v>10</v>
      </c>
      <c r="D499">
        <v>38.047124747382</v>
      </c>
    </row>
    <row r="500" spans="1:4" x14ac:dyDescent="0.3">
      <c r="A500">
        <v>2016</v>
      </c>
      <c r="B500" t="s">
        <v>120</v>
      </c>
      <c r="C500">
        <v>15</v>
      </c>
      <c r="D500">
        <v>70.086808745177294</v>
      </c>
    </row>
    <row r="501" spans="1:4" x14ac:dyDescent="0.3">
      <c r="A501">
        <v>2016</v>
      </c>
      <c r="B501" t="s">
        <v>120</v>
      </c>
      <c r="C501">
        <v>20</v>
      </c>
      <c r="D501">
        <v>141.17485761528599</v>
      </c>
    </row>
    <row r="502" spans="1:4" x14ac:dyDescent="0.3">
      <c r="A502">
        <v>2016</v>
      </c>
      <c r="B502" t="s">
        <v>120</v>
      </c>
      <c r="C502">
        <v>25</v>
      </c>
      <c r="D502">
        <v>142.17609774021699</v>
      </c>
    </row>
    <row r="503" spans="1:4" x14ac:dyDescent="0.3">
      <c r="A503">
        <v>2016</v>
      </c>
      <c r="B503" t="s">
        <v>120</v>
      </c>
      <c r="C503">
        <v>30</v>
      </c>
      <c r="D503">
        <v>157.19469961418301</v>
      </c>
    </row>
    <row r="504" spans="1:4" x14ac:dyDescent="0.3">
      <c r="A504">
        <v>2016</v>
      </c>
      <c r="B504" t="s">
        <v>120</v>
      </c>
      <c r="C504">
        <v>35</v>
      </c>
      <c r="D504">
        <v>188.23314348704801</v>
      </c>
    </row>
    <row r="505" spans="1:4" x14ac:dyDescent="0.3">
      <c r="A505">
        <v>2016</v>
      </c>
      <c r="B505" t="s">
        <v>120</v>
      </c>
      <c r="C505">
        <v>40</v>
      </c>
      <c r="D505">
        <v>234.29018923387801</v>
      </c>
    </row>
    <row r="506" spans="1:4" x14ac:dyDescent="0.3">
      <c r="A506">
        <v>2016</v>
      </c>
      <c r="B506" t="s">
        <v>120</v>
      </c>
      <c r="C506">
        <v>45</v>
      </c>
      <c r="D506">
        <v>291.36087635495102</v>
      </c>
    </row>
    <row r="507" spans="1:4" x14ac:dyDescent="0.3">
      <c r="A507">
        <v>2016</v>
      </c>
      <c r="B507" t="s">
        <v>120</v>
      </c>
      <c r="C507">
        <v>50</v>
      </c>
      <c r="D507">
        <v>338.41916222671301</v>
      </c>
    </row>
    <row r="508" spans="1:4" x14ac:dyDescent="0.3">
      <c r="A508">
        <v>2016</v>
      </c>
      <c r="B508" t="s">
        <v>120</v>
      </c>
      <c r="C508">
        <v>55</v>
      </c>
      <c r="D508">
        <v>421.52209259599499</v>
      </c>
    </row>
    <row r="509" spans="1:4" x14ac:dyDescent="0.3">
      <c r="A509">
        <v>2016</v>
      </c>
      <c r="B509" t="s">
        <v>120</v>
      </c>
      <c r="C509">
        <v>60</v>
      </c>
      <c r="D509">
        <v>452.56053646885903</v>
      </c>
    </row>
    <row r="510" spans="1:4" x14ac:dyDescent="0.3">
      <c r="A510">
        <v>2016</v>
      </c>
      <c r="B510" t="s">
        <v>120</v>
      </c>
      <c r="C510">
        <v>65</v>
      </c>
      <c r="D510">
        <v>463.57417784310098</v>
      </c>
    </row>
    <row r="511" spans="1:4" x14ac:dyDescent="0.3">
      <c r="A511">
        <v>2016</v>
      </c>
      <c r="B511" t="s">
        <v>120</v>
      </c>
      <c r="C511">
        <v>70</v>
      </c>
      <c r="D511">
        <v>502.622542715414</v>
      </c>
    </row>
    <row r="512" spans="1:4" x14ac:dyDescent="0.3">
      <c r="A512">
        <v>2016</v>
      </c>
      <c r="B512" t="s">
        <v>120</v>
      </c>
      <c r="C512">
        <v>75</v>
      </c>
      <c r="D512">
        <v>480.59525996692997</v>
      </c>
    </row>
    <row r="513" spans="1:4" x14ac:dyDescent="0.3">
      <c r="A513">
        <v>2016</v>
      </c>
      <c r="B513" t="s">
        <v>120</v>
      </c>
      <c r="C513">
        <v>80</v>
      </c>
      <c r="D513">
        <v>452.56053646885903</v>
      </c>
    </row>
    <row r="514" spans="1:4" x14ac:dyDescent="0.3">
      <c r="A514">
        <v>2016</v>
      </c>
      <c r="B514" t="s">
        <v>120</v>
      </c>
      <c r="C514">
        <v>85</v>
      </c>
      <c r="D514">
        <v>759.94125482270795</v>
      </c>
    </row>
    <row r="515" spans="1:4" x14ac:dyDescent="0.3">
      <c r="A515">
        <v>2017</v>
      </c>
      <c r="B515" t="s">
        <v>120</v>
      </c>
      <c r="C515">
        <v>0</v>
      </c>
      <c r="D515">
        <v>212.11002174065499</v>
      </c>
    </row>
    <row r="516" spans="1:4" x14ac:dyDescent="0.3">
      <c r="A516">
        <v>2017</v>
      </c>
      <c r="B516" t="s">
        <v>120</v>
      </c>
      <c r="C516">
        <v>1</v>
      </c>
      <c r="D516">
        <v>41.021277789466303</v>
      </c>
    </row>
    <row r="517" spans="1:4" x14ac:dyDescent="0.3">
      <c r="A517">
        <v>2017</v>
      </c>
      <c r="B517" t="s">
        <v>120</v>
      </c>
      <c r="C517">
        <v>5</v>
      </c>
      <c r="D517">
        <v>30.015569114243601</v>
      </c>
    </row>
    <row r="518" spans="1:4" x14ac:dyDescent="0.3">
      <c r="A518">
        <v>2017</v>
      </c>
      <c r="B518" t="s">
        <v>120</v>
      </c>
      <c r="C518">
        <v>10</v>
      </c>
      <c r="D518">
        <v>43.022315730415897</v>
      </c>
    </row>
    <row r="519" spans="1:4" x14ac:dyDescent="0.3">
      <c r="A519">
        <v>2017</v>
      </c>
      <c r="B519" t="s">
        <v>120</v>
      </c>
      <c r="C519">
        <v>15</v>
      </c>
      <c r="D519">
        <v>95.049302195104801</v>
      </c>
    </row>
    <row r="520" spans="1:4" x14ac:dyDescent="0.3">
      <c r="A520">
        <v>2017</v>
      </c>
      <c r="B520" t="s">
        <v>120</v>
      </c>
      <c r="C520">
        <v>20</v>
      </c>
      <c r="D520">
        <v>135.07006101409601</v>
      </c>
    </row>
    <row r="521" spans="1:4" x14ac:dyDescent="0.3">
      <c r="A521">
        <v>2017</v>
      </c>
      <c r="B521" t="s">
        <v>120</v>
      </c>
      <c r="C521">
        <v>25</v>
      </c>
      <c r="D521">
        <v>170.08822498071399</v>
      </c>
    </row>
    <row r="522" spans="1:4" x14ac:dyDescent="0.3">
      <c r="A522">
        <v>2017</v>
      </c>
      <c r="B522" t="s">
        <v>120</v>
      </c>
      <c r="C522">
        <v>30</v>
      </c>
      <c r="D522">
        <v>187.09704747878499</v>
      </c>
    </row>
    <row r="523" spans="1:4" x14ac:dyDescent="0.3">
      <c r="A523">
        <v>2017</v>
      </c>
      <c r="B523" t="s">
        <v>120</v>
      </c>
      <c r="C523">
        <v>35</v>
      </c>
      <c r="D523">
        <v>213.11054071113</v>
      </c>
    </row>
    <row r="524" spans="1:4" x14ac:dyDescent="0.3">
      <c r="A524">
        <v>2017</v>
      </c>
      <c r="B524" t="s">
        <v>120</v>
      </c>
      <c r="C524">
        <v>40</v>
      </c>
      <c r="D524">
        <v>275.81874321196898</v>
      </c>
    </row>
    <row r="525" spans="1:4" x14ac:dyDescent="0.3">
      <c r="A525">
        <v>2017</v>
      </c>
      <c r="B525" t="s">
        <v>120</v>
      </c>
      <c r="C525">
        <v>45</v>
      </c>
      <c r="D525">
        <v>302.15672908338598</v>
      </c>
    </row>
    <row r="526" spans="1:4" x14ac:dyDescent="0.3">
      <c r="A526">
        <v>2017</v>
      </c>
      <c r="B526" t="s">
        <v>120</v>
      </c>
      <c r="C526">
        <v>50</v>
      </c>
      <c r="D526">
        <v>385.19980363279302</v>
      </c>
    </row>
    <row r="527" spans="1:4" x14ac:dyDescent="0.3">
      <c r="A527">
        <v>2017</v>
      </c>
      <c r="B527" t="s">
        <v>120</v>
      </c>
      <c r="C527">
        <v>55</v>
      </c>
      <c r="D527">
        <v>448.23249877270501</v>
      </c>
    </row>
    <row r="528" spans="1:4" x14ac:dyDescent="0.3">
      <c r="A528">
        <v>2017</v>
      </c>
      <c r="B528" t="s">
        <v>120</v>
      </c>
      <c r="C528">
        <v>60</v>
      </c>
      <c r="D528">
        <v>451.23405568412898</v>
      </c>
    </row>
    <row r="529" spans="1:4" x14ac:dyDescent="0.3">
      <c r="A529">
        <v>2017</v>
      </c>
      <c r="B529" t="s">
        <v>120</v>
      </c>
      <c r="C529">
        <v>65</v>
      </c>
      <c r="D529">
        <v>494.25637141454501</v>
      </c>
    </row>
    <row r="530" spans="1:4" x14ac:dyDescent="0.3">
      <c r="A530">
        <v>2017</v>
      </c>
      <c r="B530" t="s">
        <v>120</v>
      </c>
      <c r="C530">
        <v>70</v>
      </c>
      <c r="D530">
        <v>528.27401641068798</v>
      </c>
    </row>
    <row r="531" spans="1:4" x14ac:dyDescent="0.3">
      <c r="A531">
        <v>2017</v>
      </c>
      <c r="B531" t="s">
        <v>120</v>
      </c>
      <c r="C531">
        <v>75</v>
      </c>
      <c r="D531">
        <v>458.23768847745299</v>
      </c>
    </row>
    <row r="532" spans="1:4" x14ac:dyDescent="0.3">
      <c r="A532">
        <v>2017</v>
      </c>
      <c r="B532" t="s">
        <v>120</v>
      </c>
      <c r="C532">
        <v>80</v>
      </c>
      <c r="D532">
        <v>503.26104214881798</v>
      </c>
    </row>
    <row r="533" spans="1:4" x14ac:dyDescent="0.3">
      <c r="A533">
        <v>2017</v>
      </c>
      <c r="B533" t="s">
        <v>120</v>
      </c>
      <c r="C533">
        <v>85</v>
      </c>
      <c r="D533">
        <v>810.42036608457795</v>
      </c>
    </row>
    <row r="534" spans="1:4" x14ac:dyDescent="0.3">
      <c r="A534">
        <v>2018</v>
      </c>
      <c r="B534" t="s">
        <v>120</v>
      </c>
      <c r="C534">
        <v>0</v>
      </c>
      <c r="D534">
        <v>226.037925826481</v>
      </c>
    </row>
    <row r="535" spans="1:4" x14ac:dyDescent="0.3">
      <c r="A535">
        <v>2018</v>
      </c>
      <c r="B535" t="s">
        <v>120</v>
      </c>
      <c r="C535">
        <v>1</v>
      </c>
      <c r="D535">
        <v>49.008222856183899</v>
      </c>
    </row>
    <row r="536" spans="1:4" x14ac:dyDescent="0.3">
      <c r="A536">
        <v>2018</v>
      </c>
      <c r="B536" t="s">
        <v>120</v>
      </c>
      <c r="C536">
        <v>5</v>
      </c>
      <c r="D536">
        <v>26.004363148179198</v>
      </c>
    </row>
    <row r="537" spans="1:4" x14ac:dyDescent="0.3">
      <c r="A537">
        <v>2018</v>
      </c>
      <c r="B537" t="s">
        <v>120</v>
      </c>
      <c r="C537">
        <v>10</v>
      </c>
      <c r="D537">
        <v>34.005705655311303</v>
      </c>
    </row>
    <row r="538" spans="1:4" x14ac:dyDescent="0.3">
      <c r="A538">
        <v>2018</v>
      </c>
      <c r="B538" t="s">
        <v>120</v>
      </c>
      <c r="C538">
        <v>15</v>
      </c>
      <c r="D538">
        <v>102.01711696593399</v>
      </c>
    </row>
    <row r="539" spans="1:4" x14ac:dyDescent="0.3">
      <c r="A539">
        <v>2018</v>
      </c>
      <c r="B539" t="s">
        <v>120</v>
      </c>
      <c r="C539">
        <v>20</v>
      </c>
      <c r="D539">
        <v>166.02785702298999</v>
      </c>
    </row>
    <row r="540" spans="1:4" x14ac:dyDescent="0.3">
      <c r="A540">
        <v>2018</v>
      </c>
      <c r="B540" t="s">
        <v>120</v>
      </c>
      <c r="C540">
        <v>25</v>
      </c>
      <c r="D540">
        <v>171.028696089948</v>
      </c>
    </row>
    <row r="541" spans="1:4" x14ac:dyDescent="0.3">
      <c r="A541">
        <v>2018</v>
      </c>
      <c r="B541" t="s">
        <v>120</v>
      </c>
      <c r="C541">
        <v>30</v>
      </c>
      <c r="D541">
        <v>191.03205235777801</v>
      </c>
    </row>
    <row r="542" spans="1:4" x14ac:dyDescent="0.3">
      <c r="A542">
        <v>2018</v>
      </c>
      <c r="B542" t="s">
        <v>120</v>
      </c>
      <c r="C542">
        <v>35</v>
      </c>
      <c r="D542">
        <v>225.03775801308899</v>
      </c>
    </row>
    <row r="543" spans="1:4" x14ac:dyDescent="0.3">
      <c r="A543">
        <v>2018</v>
      </c>
      <c r="B543" t="s">
        <v>120</v>
      </c>
      <c r="C543">
        <v>40</v>
      </c>
      <c r="D543">
        <v>265.04447054874998</v>
      </c>
    </row>
    <row r="544" spans="1:4" x14ac:dyDescent="0.3">
      <c r="A544">
        <v>2018</v>
      </c>
      <c r="B544" t="s">
        <v>120</v>
      </c>
      <c r="C544">
        <v>45</v>
      </c>
      <c r="D544">
        <v>316.05302903171702</v>
      </c>
    </row>
    <row r="545" spans="1:4" x14ac:dyDescent="0.3">
      <c r="A545">
        <v>2018</v>
      </c>
      <c r="B545" t="s">
        <v>120</v>
      </c>
      <c r="C545">
        <v>50</v>
      </c>
      <c r="D545">
        <v>357.059909380769</v>
      </c>
    </row>
    <row r="546" spans="1:4" x14ac:dyDescent="0.3">
      <c r="A546">
        <v>2018</v>
      </c>
      <c r="B546" t="s">
        <v>120</v>
      </c>
      <c r="C546">
        <v>55</v>
      </c>
      <c r="D546">
        <v>447.07501258600399</v>
      </c>
    </row>
    <row r="547" spans="1:4" x14ac:dyDescent="0.3">
      <c r="A547">
        <v>2018</v>
      </c>
      <c r="B547" t="s">
        <v>120</v>
      </c>
      <c r="C547">
        <v>60</v>
      </c>
      <c r="D547">
        <v>519.08709515019302</v>
      </c>
    </row>
    <row r="548" spans="1:4" x14ac:dyDescent="0.3">
      <c r="A548">
        <v>2018</v>
      </c>
      <c r="B548" t="s">
        <v>120</v>
      </c>
      <c r="C548">
        <v>65</v>
      </c>
      <c r="D548">
        <v>503.08441013592898</v>
      </c>
    </row>
    <row r="549" spans="1:4" x14ac:dyDescent="0.3">
      <c r="A549">
        <v>2018</v>
      </c>
      <c r="B549" t="s">
        <v>120</v>
      </c>
      <c r="C549">
        <v>70</v>
      </c>
      <c r="D549">
        <v>493.08273200201398</v>
      </c>
    </row>
    <row r="550" spans="1:4" x14ac:dyDescent="0.3">
      <c r="A550">
        <v>2018</v>
      </c>
      <c r="B550" t="s">
        <v>120</v>
      </c>
      <c r="C550">
        <v>75</v>
      </c>
      <c r="D550">
        <v>505.08474576271198</v>
      </c>
    </row>
    <row r="551" spans="1:4" x14ac:dyDescent="0.3">
      <c r="A551">
        <v>2018</v>
      </c>
      <c r="B551" t="s">
        <v>120</v>
      </c>
      <c r="C551">
        <v>80</v>
      </c>
      <c r="D551">
        <v>496.08323544218803</v>
      </c>
    </row>
    <row r="552" spans="1:4" x14ac:dyDescent="0.3">
      <c r="A552">
        <v>2018</v>
      </c>
      <c r="B552" t="s">
        <v>120</v>
      </c>
      <c r="C552">
        <v>85</v>
      </c>
      <c r="D552">
        <v>868.145662023829</v>
      </c>
    </row>
    <row r="553" spans="1:4" x14ac:dyDescent="0.3">
      <c r="A553">
        <v>2019</v>
      </c>
      <c r="B553" t="s">
        <v>120</v>
      </c>
      <c r="C553">
        <v>0</v>
      </c>
      <c r="D553">
        <v>206.75318791712499</v>
      </c>
    </row>
    <row r="554" spans="1:4" x14ac:dyDescent="0.3">
      <c r="A554">
        <v>2019</v>
      </c>
      <c r="B554" t="s">
        <v>120</v>
      </c>
      <c r="C554">
        <v>1</v>
      </c>
      <c r="D554">
        <v>44.044047377218703</v>
      </c>
    </row>
    <row r="555" spans="1:4" x14ac:dyDescent="0.3">
      <c r="A555">
        <v>2019</v>
      </c>
      <c r="B555" t="s">
        <v>120</v>
      </c>
      <c r="C555">
        <v>5</v>
      </c>
      <c r="D555">
        <v>18.0180193815895</v>
      </c>
    </row>
    <row r="556" spans="1:4" x14ac:dyDescent="0.3">
      <c r="A556">
        <v>2019</v>
      </c>
      <c r="B556" t="s">
        <v>120</v>
      </c>
      <c r="C556">
        <v>10</v>
      </c>
      <c r="D556">
        <v>28.028030149139202</v>
      </c>
    </row>
    <row r="557" spans="1:4" x14ac:dyDescent="0.3">
      <c r="A557">
        <v>2019</v>
      </c>
      <c r="B557" t="s">
        <v>120</v>
      </c>
      <c r="C557">
        <v>15</v>
      </c>
      <c r="D557">
        <v>74.074079679867907</v>
      </c>
    </row>
    <row r="558" spans="1:4" x14ac:dyDescent="0.3">
      <c r="A558">
        <v>2019</v>
      </c>
      <c r="B558" t="s">
        <v>120</v>
      </c>
      <c r="C558">
        <v>20</v>
      </c>
      <c r="D558">
        <v>172.172185201855</v>
      </c>
    </row>
    <row r="559" spans="1:4" x14ac:dyDescent="0.3">
      <c r="A559">
        <v>2019</v>
      </c>
      <c r="B559" t="s">
        <v>120</v>
      </c>
      <c r="C559">
        <v>25</v>
      </c>
      <c r="D559">
        <v>197.19721212072901</v>
      </c>
    </row>
    <row r="560" spans="1:4" x14ac:dyDescent="0.3">
      <c r="A560">
        <v>2019</v>
      </c>
      <c r="B560" t="s">
        <v>120</v>
      </c>
      <c r="C560">
        <v>30</v>
      </c>
      <c r="D560">
        <v>219.21923580933901</v>
      </c>
    </row>
    <row r="561" spans="1:4" x14ac:dyDescent="0.3">
      <c r="A561">
        <v>2019</v>
      </c>
      <c r="B561" t="s">
        <v>120</v>
      </c>
      <c r="C561">
        <v>35</v>
      </c>
      <c r="D561">
        <v>222.22223903960401</v>
      </c>
    </row>
    <row r="562" spans="1:4" x14ac:dyDescent="0.3">
      <c r="A562">
        <v>2019</v>
      </c>
      <c r="B562" t="s">
        <v>120</v>
      </c>
      <c r="C562">
        <v>40</v>
      </c>
      <c r="D562">
        <v>286.28630795192203</v>
      </c>
    </row>
    <row r="563" spans="1:4" x14ac:dyDescent="0.3">
      <c r="A563">
        <v>2019</v>
      </c>
      <c r="B563" t="s">
        <v>120</v>
      </c>
      <c r="C563">
        <v>45</v>
      </c>
      <c r="D563">
        <v>372.372400552849</v>
      </c>
    </row>
    <row r="564" spans="1:4" x14ac:dyDescent="0.3">
      <c r="A564">
        <v>2019</v>
      </c>
      <c r="B564" t="s">
        <v>120</v>
      </c>
      <c r="C564">
        <v>50</v>
      </c>
      <c r="D564">
        <v>399.39942962523298</v>
      </c>
    </row>
    <row r="565" spans="1:4" x14ac:dyDescent="0.3">
      <c r="A565">
        <v>2019</v>
      </c>
      <c r="B565" t="s">
        <v>120</v>
      </c>
      <c r="C565">
        <v>55</v>
      </c>
      <c r="D565">
        <v>424.42445654410801</v>
      </c>
    </row>
    <row r="566" spans="1:4" x14ac:dyDescent="0.3">
      <c r="A566">
        <v>2019</v>
      </c>
      <c r="B566" t="s">
        <v>120</v>
      </c>
      <c r="C566">
        <v>60</v>
      </c>
      <c r="D566">
        <v>471.47150715159103</v>
      </c>
    </row>
    <row r="567" spans="1:4" x14ac:dyDescent="0.3">
      <c r="A567">
        <v>2019</v>
      </c>
      <c r="B567" t="s">
        <v>120</v>
      </c>
      <c r="C567">
        <v>65</v>
      </c>
      <c r="D567">
        <v>465.465500691062</v>
      </c>
    </row>
    <row r="568" spans="1:4" x14ac:dyDescent="0.3">
      <c r="A568">
        <v>2019</v>
      </c>
      <c r="B568" t="s">
        <v>120</v>
      </c>
      <c r="C568">
        <v>70</v>
      </c>
      <c r="D568">
        <v>528.52856852662501</v>
      </c>
    </row>
    <row r="569" spans="1:4" x14ac:dyDescent="0.3">
      <c r="A569">
        <v>2019</v>
      </c>
      <c r="B569" t="s">
        <v>120</v>
      </c>
      <c r="C569">
        <v>75</v>
      </c>
      <c r="D569">
        <v>514.514553452055</v>
      </c>
    </row>
    <row r="570" spans="1:4" x14ac:dyDescent="0.3">
      <c r="A570">
        <v>2019</v>
      </c>
      <c r="B570" t="s">
        <v>120</v>
      </c>
      <c r="C570">
        <v>80</v>
      </c>
      <c r="D570">
        <v>537.53757821741999</v>
      </c>
    </row>
    <row r="571" spans="1:4" x14ac:dyDescent="0.3">
      <c r="A571">
        <v>2019</v>
      </c>
      <c r="B571" t="s">
        <v>120</v>
      </c>
      <c r="C571">
        <v>85</v>
      </c>
      <c r="D571">
        <v>817.81787970881101</v>
      </c>
    </row>
    <row r="572" spans="1:4" x14ac:dyDescent="0.3">
      <c r="A572">
        <v>2020</v>
      </c>
      <c r="B572" t="s">
        <v>120</v>
      </c>
      <c r="C572">
        <v>0</v>
      </c>
      <c r="D572">
        <v>185.35871813669101</v>
      </c>
    </row>
    <row r="573" spans="1:4" x14ac:dyDescent="0.3">
      <c r="A573">
        <v>2020</v>
      </c>
      <c r="B573" t="s">
        <v>120</v>
      </c>
      <c r="C573">
        <v>1</v>
      </c>
      <c r="D573">
        <v>27.0365065962201</v>
      </c>
    </row>
    <row r="574" spans="1:4" x14ac:dyDescent="0.3">
      <c r="A574">
        <v>2020</v>
      </c>
      <c r="B574" t="s">
        <v>120</v>
      </c>
      <c r="C574">
        <v>5</v>
      </c>
      <c r="D574">
        <v>17.0229856346571</v>
      </c>
    </row>
    <row r="575" spans="1:4" x14ac:dyDescent="0.3">
      <c r="A575">
        <v>2020</v>
      </c>
      <c r="B575" t="s">
        <v>120</v>
      </c>
      <c r="C575">
        <v>10</v>
      </c>
      <c r="D575">
        <v>37.050027557783103</v>
      </c>
    </row>
    <row r="576" spans="1:4" x14ac:dyDescent="0.3">
      <c r="A576">
        <v>2020</v>
      </c>
      <c r="B576" t="s">
        <v>120</v>
      </c>
      <c r="C576">
        <v>15</v>
      </c>
      <c r="D576">
        <v>105.141970096412</v>
      </c>
    </row>
    <row r="577" spans="1:4" x14ac:dyDescent="0.3">
      <c r="A577">
        <v>2020</v>
      </c>
      <c r="B577" t="s">
        <v>120</v>
      </c>
      <c r="C577">
        <v>20</v>
      </c>
      <c r="D577">
        <v>141.190645558038</v>
      </c>
    </row>
    <row r="578" spans="1:4" x14ac:dyDescent="0.3">
      <c r="A578">
        <v>2020</v>
      </c>
      <c r="B578" t="s">
        <v>120</v>
      </c>
      <c r="C578">
        <v>25</v>
      </c>
      <c r="D578">
        <v>227.30692582748</v>
      </c>
    </row>
    <row r="579" spans="1:4" x14ac:dyDescent="0.3">
      <c r="A579">
        <v>2020</v>
      </c>
      <c r="B579" t="s">
        <v>120</v>
      </c>
      <c r="C579">
        <v>30</v>
      </c>
      <c r="D579">
        <v>250.33802403907501</v>
      </c>
    </row>
    <row r="580" spans="1:4" x14ac:dyDescent="0.3">
      <c r="A580">
        <v>2020</v>
      </c>
      <c r="B580" t="s">
        <v>120</v>
      </c>
      <c r="C580">
        <v>35</v>
      </c>
      <c r="D580">
        <v>309.41779771229699</v>
      </c>
    </row>
    <row r="581" spans="1:4" x14ac:dyDescent="0.3">
      <c r="A581">
        <v>2020</v>
      </c>
      <c r="B581" t="s">
        <v>120</v>
      </c>
      <c r="C581">
        <v>40</v>
      </c>
      <c r="D581">
        <v>407.550303135614</v>
      </c>
    </row>
    <row r="582" spans="1:4" x14ac:dyDescent="0.3">
      <c r="A582">
        <v>2020</v>
      </c>
      <c r="B582" t="s">
        <v>120</v>
      </c>
      <c r="C582">
        <v>45</v>
      </c>
      <c r="D582">
        <v>550.74365288596505</v>
      </c>
    </row>
    <row r="583" spans="1:4" x14ac:dyDescent="0.3">
      <c r="A583">
        <v>2020</v>
      </c>
      <c r="B583" t="s">
        <v>120</v>
      </c>
      <c r="C583">
        <v>50</v>
      </c>
      <c r="D583">
        <v>614.830187039968</v>
      </c>
    </row>
    <row r="584" spans="1:4" x14ac:dyDescent="0.3">
      <c r="A584">
        <v>2020</v>
      </c>
      <c r="B584" t="s">
        <v>120</v>
      </c>
      <c r="C584">
        <v>55</v>
      </c>
      <c r="D584">
        <v>808.09114159813396</v>
      </c>
    </row>
    <row r="585" spans="1:4" x14ac:dyDescent="0.3">
      <c r="A585">
        <v>2020</v>
      </c>
      <c r="B585" t="s">
        <v>120</v>
      </c>
      <c r="C585">
        <v>60</v>
      </c>
      <c r="D585">
        <v>877.18443623291898</v>
      </c>
    </row>
    <row r="586" spans="1:4" x14ac:dyDescent="0.3">
      <c r="A586">
        <v>2020</v>
      </c>
      <c r="B586" t="s">
        <v>120</v>
      </c>
      <c r="C586">
        <v>65</v>
      </c>
      <c r="D586">
        <v>848.14522544438603</v>
      </c>
    </row>
    <row r="587" spans="1:4" x14ac:dyDescent="0.3">
      <c r="A587">
        <v>2020</v>
      </c>
      <c r="B587" t="s">
        <v>120</v>
      </c>
      <c r="C587">
        <v>70</v>
      </c>
      <c r="D587">
        <v>843.13846496360497</v>
      </c>
    </row>
    <row r="588" spans="1:4" x14ac:dyDescent="0.3">
      <c r="A588">
        <v>2020</v>
      </c>
      <c r="B588" t="s">
        <v>120</v>
      </c>
      <c r="C588">
        <v>75</v>
      </c>
      <c r="D588">
        <v>774.04517032881995</v>
      </c>
    </row>
    <row r="589" spans="1:4" x14ac:dyDescent="0.3">
      <c r="A589">
        <v>2020</v>
      </c>
      <c r="B589" t="s">
        <v>120</v>
      </c>
      <c r="C589">
        <v>80</v>
      </c>
      <c r="D589">
        <v>731.988382290255</v>
      </c>
    </row>
    <row r="590" spans="1:4" x14ac:dyDescent="0.3">
      <c r="A590">
        <v>2020</v>
      </c>
      <c r="B590" t="s">
        <v>120</v>
      </c>
      <c r="C590">
        <v>85</v>
      </c>
      <c r="D590">
        <v>1131.5278686566201</v>
      </c>
    </row>
    <row r="591" spans="1:4" x14ac:dyDescent="0.3">
      <c r="A591">
        <v>2021</v>
      </c>
      <c r="B591" t="s">
        <v>120</v>
      </c>
      <c r="C591">
        <v>0</v>
      </c>
      <c r="D591">
        <v>195.97260591746101</v>
      </c>
    </row>
    <row r="592" spans="1:4" x14ac:dyDescent="0.3">
      <c r="A592">
        <v>2021</v>
      </c>
      <c r="B592" t="s">
        <v>120</v>
      </c>
      <c r="C592">
        <v>1</v>
      </c>
      <c r="D592">
        <v>35.026983214107702</v>
      </c>
    </row>
    <row r="593" spans="1:4" x14ac:dyDescent="0.3">
      <c r="A593">
        <v>2021</v>
      </c>
      <c r="B593" t="s">
        <v>120</v>
      </c>
      <c r="C593">
        <v>5</v>
      </c>
      <c r="D593">
        <v>26.0200446733371</v>
      </c>
    </row>
    <row r="594" spans="1:4" x14ac:dyDescent="0.3">
      <c r="A594">
        <v>2021</v>
      </c>
      <c r="B594" t="s">
        <v>120</v>
      </c>
      <c r="C594">
        <v>10</v>
      </c>
      <c r="D594">
        <v>33.025441316158698</v>
      </c>
    </row>
    <row r="595" spans="1:4" x14ac:dyDescent="0.3">
      <c r="A595">
        <v>2021</v>
      </c>
      <c r="B595" t="s">
        <v>120</v>
      </c>
      <c r="C595">
        <v>15</v>
      </c>
      <c r="D595">
        <v>88.0678435097565</v>
      </c>
    </row>
    <row r="596" spans="1:4" x14ac:dyDescent="0.3">
      <c r="A596">
        <v>2021</v>
      </c>
      <c r="B596" t="s">
        <v>120</v>
      </c>
      <c r="C596">
        <v>20</v>
      </c>
      <c r="D596">
        <v>199.15341884592701</v>
      </c>
    </row>
    <row r="597" spans="1:4" x14ac:dyDescent="0.3">
      <c r="A597">
        <v>2021</v>
      </c>
      <c r="B597" t="s">
        <v>120</v>
      </c>
      <c r="C597">
        <v>25</v>
      </c>
      <c r="D597">
        <v>263.20275958029498</v>
      </c>
    </row>
    <row r="598" spans="1:4" x14ac:dyDescent="0.3">
      <c r="A598">
        <v>2021</v>
      </c>
      <c r="B598" t="s">
        <v>120</v>
      </c>
      <c r="C598">
        <v>30</v>
      </c>
      <c r="D598">
        <v>323.24901651876502</v>
      </c>
    </row>
    <row r="599" spans="1:4" x14ac:dyDescent="0.3">
      <c r="A599">
        <v>2021</v>
      </c>
      <c r="B599" t="s">
        <v>120</v>
      </c>
      <c r="C599">
        <v>35</v>
      </c>
      <c r="D599">
        <v>407.31377623262398</v>
      </c>
    </row>
    <row r="600" spans="1:4" x14ac:dyDescent="0.3">
      <c r="A600">
        <v>2021</v>
      </c>
      <c r="B600" t="s">
        <v>120</v>
      </c>
      <c r="C600">
        <v>40</v>
      </c>
      <c r="D600">
        <v>496.382390691355</v>
      </c>
    </row>
    <row r="601" spans="1:4" x14ac:dyDescent="0.3">
      <c r="A601">
        <v>2021</v>
      </c>
      <c r="B601" t="s">
        <v>120</v>
      </c>
      <c r="C601">
        <v>45</v>
      </c>
      <c r="D601">
        <v>709.546602822924</v>
      </c>
    </row>
    <row r="602" spans="1:4" x14ac:dyDescent="0.3">
      <c r="A602">
        <v>2021</v>
      </c>
      <c r="B602" t="s">
        <v>120</v>
      </c>
      <c r="C602">
        <v>50</v>
      </c>
      <c r="D602">
        <v>737.568189394211</v>
      </c>
    </row>
    <row r="603" spans="1:4" x14ac:dyDescent="0.3">
      <c r="A603">
        <v>2021</v>
      </c>
      <c r="B603" t="s">
        <v>120</v>
      </c>
      <c r="C603">
        <v>55</v>
      </c>
      <c r="D603">
        <v>891.686915536284</v>
      </c>
    </row>
    <row r="604" spans="1:4" x14ac:dyDescent="0.3">
      <c r="A604">
        <v>2021</v>
      </c>
      <c r="B604" t="s">
        <v>120</v>
      </c>
      <c r="C604">
        <v>60</v>
      </c>
      <c r="D604">
        <v>1035.79793218861</v>
      </c>
    </row>
    <row r="605" spans="1:4" x14ac:dyDescent="0.3">
      <c r="A605">
        <v>2021</v>
      </c>
      <c r="B605" t="s">
        <v>120</v>
      </c>
      <c r="C605">
        <v>65</v>
      </c>
      <c r="D605">
        <v>964.743194811423</v>
      </c>
    </row>
    <row r="606" spans="1:4" x14ac:dyDescent="0.3">
      <c r="A606">
        <v>2021</v>
      </c>
      <c r="B606" t="s">
        <v>120</v>
      </c>
      <c r="C606">
        <v>70</v>
      </c>
      <c r="D606">
        <v>1009.77788751528</v>
      </c>
    </row>
    <row r="607" spans="1:4" x14ac:dyDescent="0.3">
      <c r="A607">
        <v>2021</v>
      </c>
      <c r="B607" t="s">
        <v>120</v>
      </c>
      <c r="C607">
        <v>75</v>
      </c>
      <c r="D607">
        <v>913.70387641372304</v>
      </c>
    </row>
    <row r="608" spans="1:4" x14ac:dyDescent="0.3">
      <c r="A608">
        <v>2021</v>
      </c>
      <c r="B608" t="s">
        <v>120</v>
      </c>
      <c r="C608">
        <v>80</v>
      </c>
      <c r="D608">
        <v>800.61675917960395</v>
      </c>
    </row>
    <row r="609" spans="1:4" x14ac:dyDescent="0.3">
      <c r="A609">
        <v>2021</v>
      </c>
      <c r="B609" t="s">
        <v>120</v>
      </c>
      <c r="C609">
        <v>85</v>
      </c>
      <c r="D609">
        <v>1253.96599906506</v>
      </c>
    </row>
    <row r="610" spans="1:4" x14ac:dyDescent="0.3">
      <c r="A610">
        <v>2022</v>
      </c>
      <c r="B610" t="s">
        <v>120</v>
      </c>
      <c r="C610">
        <v>0</v>
      </c>
      <c r="D610">
        <v>187.341882598696</v>
      </c>
    </row>
    <row r="611" spans="1:4" x14ac:dyDescent="0.3">
      <c r="A611">
        <v>2022</v>
      </c>
      <c r="B611" t="s">
        <v>120</v>
      </c>
      <c r="C611">
        <v>1</v>
      </c>
      <c r="D611">
        <v>46.066351326992503</v>
      </c>
    </row>
    <row r="612" spans="1:4" x14ac:dyDescent="0.3">
      <c r="A612">
        <v>2022</v>
      </c>
      <c r="B612" t="s">
        <v>120</v>
      </c>
      <c r="C612">
        <v>5</v>
      </c>
      <c r="D612">
        <v>22.031733243344299</v>
      </c>
    </row>
    <row r="613" spans="1:4" x14ac:dyDescent="0.3">
      <c r="A613">
        <v>2022</v>
      </c>
      <c r="B613" t="s">
        <v>120</v>
      </c>
      <c r="C613">
        <v>10</v>
      </c>
      <c r="D613">
        <v>29.041830184408301</v>
      </c>
    </row>
    <row r="614" spans="1:4" x14ac:dyDescent="0.3">
      <c r="A614">
        <v>2022</v>
      </c>
      <c r="B614" t="s">
        <v>120</v>
      </c>
      <c r="C614">
        <v>15</v>
      </c>
      <c r="D614">
        <v>102.14712685550499</v>
      </c>
    </row>
    <row r="615" spans="1:4" x14ac:dyDescent="0.3">
      <c r="A615">
        <v>2022</v>
      </c>
      <c r="B615" t="s">
        <v>120</v>
      </c>
      <c r="C615">
        <v>20</v>
      </c>
      <c r="D615">
        <v>150.216363022802</v>
      </c>
    </row>
    <row r="616" spans="1:4" x14ac:dyDescent="0.3">
      <c r="A616">
        <v>2022</v>
      </c>
      <c r="B616" t="s">
        <v>120</v>
      </c>
      <c r="C616">
        <v>25</v>
      </c>
      <c r="D616">
        <v>206.29713855131399</v>
      </c>
    </row>
    <row r="617" spans="1:4" x14ac:dyDescent="0.3">
      <c r="A617">
        <v>2022</v>
      </c>
      <c r="B617" t="s">
        <v>120</v>
      </c>
      <c r="C617">
        <v>30</v>
      </c>
      <c r="D617">
        <v>236.34041115587499</v>
      </c>
    </row>
    <row r="618" spans="1:4" x14ac:dyDescent="0.3">
      <c r="A618">
        <v>2022</v>
      </c>
      <c r="B618" t="s">
        <v>120</v>
      </c>
      <c r="C618">
        <v>35</v>
      </c>
      <c r="D618">
        <v>260.37502923952297</v>
      </c>
    </row>
    <row r="619" spans="1:4" x14ac:dyDescent="0.3">
      <c r="A619">
        <v>2022</v>
      </c>
      <c r="B619" t="s">
        <v>120</v>
      </c>
      <c r="C619">
        <v>40</v>
      </c>
      <c r="D619">
        <v>309.44570782697201</v>
      </c>
    </row>
    <row r="620" spans="1:4" x14ac:dyDescent="0.3">
      <c r="A620">
        <v>2022</v>
      </c>
      <c r="B620" t="s">
        <v>120</v>
      </c>
      <c r="C620">
        <v>45</v>
      </c>
      <c r="D620">
        <v>372.53658029654798</v>
      </c>
    </row>
    <row r="621" spans="1:4" x14ac:dyDescent="0.3">
      <c r="A621">
        <v>2022</v>
      </c>
      <c r="B621" t="s">
        <v>120</v>
      </c>
      <c r="C621">
        <v>50</v>
      </c>
      <c r="D621">
        <v>499.71976765585401</v>
      </c>
    </row>
    <row r="622" spans="1:4" x14ac:dyDescent="0.3">
      <c r="A622">
        <v>2022</v>
      </c>
      <c r="B622" t="s">
        <v>120</v>
      </c>
      <c r="C622">
        <v>55</v>
      </c>
      <c r="D622">
        <v>560.80775528512595</v>
      </c>
    </row>
    <row r="623" spans="1:4" x14ac:dyDescent="0.3">
      <c r="A623">
        <v>2022</v>
      </c>
      <c r="B623" t="s">
        <v>120</v>
      </c>
      <c r="C623">
        <v>60</v>
      </c>
      <c r="D623">
        <v>647.93324583835101</v>
      </c>
    </row>
    <row r="624" spans="1:4" x14ac:dyDescent="0.3">
      <c r="A624">
        <v>2022</v>
      </c>
      <c r="B624" t="s">
        <v>120</v>
      </c>
      <c r="C624">
        <v>65</v>
      </c>
      <c r="D624">
        <v>669.96497908169601</v>
      </c>
    </row>
    <row r="625" spans="1:4" x14ac:dyDescent="0.3">
      <c r="A625">
        <v>2022</v>
      </c>
      <c r="B625" t="s">
        <v>120</v>
      </c>
      <c r="C625">
        <v>70</v>
      </c>
      <c r="D625">
        <v>746.07460301324898</v>
      </c>
    </row>
    <row r="626" spans="1:4" x14ac:dyDescent="0.3">
      <c r="A626">
        <v>2022</v>
      </c>
      <c r="B626" t="s">
        <v>120</v>
      </c>
      <c r="C626">
        <v>75</v>
      </c>
      <c r="D626">
        <v>717.03277282884005</v>
      </c>
    </row>
    <row r="627" spans="1:4" x14ac:dyDescent="0.3">
      <c r="A627">
        <v>2022</v>
      </c>
      <c r="B627" t="s">
        <v>120</v>
      </c>
      <c r="C627">
        <v>80</v>
      </c>
      <c r="D627">
        <v>700.00825168625602</v>
      </c>
    </row>
    <row r="628" spans="1:4" x14ac:dyDescent="0.3">
      <c r="A628">
        <v>2022</v>
      </c>
      <c r="B628" t="s">
        <v>120</v>
      </c>
      <c r="C628">
        <v>85</v>
      </c>
      <c r="D628">
        <v>1173.6905164181601</v>
      </c>
    </row>
    <row r="629" spans="1:4" x14ac:dyDescent="0.3">
      <c r="A629">
        <v>2023</v>
      </c>
      <c r="B629" t="s">
        <v>120</v>
      </c>
      <c r="C629">
        <v>0</v>
      </c>
      <c r="D629">
        <v>188.86451930595601</v>
      </c>
    </row>
    <row r="630" spans="1:4" x14ac:dyDescent="0.3">
      <c r="A630">
        <v>2023</v>
      </c>
      <c r="B630" t="s">
        <v>120</v>
      </c>
      <c r="C630">
        <v>1</v>
      </c>
      <c r="D630">
        <v>35.055359311469097</v>
      </c>
    </row>
    <row r="631" spans="1:4" x14ac:dyDescent="0.3">
      <c r="A631">
        <v>2023</v>
      </c>
      <c r="B631" t="s">
        <v>120</v>
      </c>
      <c r="C631">
        <v>5</v>
      </c>
      <c r="D631">
        <v>28.0442874491753</v>
      </c>
    </row>
    <row r="632" spans="1:4" x14ac:dyDescent="0.3">
      <c r="A632">
        <v>2023</v>
      </c>
      <c r="B632" t="s">
        <v>120</v>
      </c>
      <c r="C632">
        <v>10</v>
      </c>
      <c r="D632">
        <v>33.052195922242298</v>
      </c>
    </row>
    <row r="633" spans="1:4" x14ac:dyDescent="0.3">
      <c r="A633">
        <v>2023</v>
      </c>
      <c r="B633" t="s">
        <v>120</v>
      </c>
      <c r="C633">
        <v>15</v>
      </c>
      <c r="D633">
        <v>96.151842682886695</v>
      </c>
    </row>
    <row r="634" spans="1:4" x14ac:dyDescent="0.3">
      <c r="A634">
        <v>2023</v>
      </c>
      <c r="B634" t="s">
        <v>120</v>
      </c>
      <c r="C634">
        <v>20</v>
      </c>
      <c r="D634">
        <v>158.24990774891799</v>
      </c>
    </row>
    <row r="635" spans="1:4" x14ac:dyDescent="0.3">
      <c r="A635">
        <v>2023</v>
      </c>
      <c r="B635" t="s">
        <v>120</v>
      </c>
      <c r="C635">
        <v>25</v>
      </c>
      <c r="D635">
        <v>209.33057417420099</v>
      </c>
    </row>
    <row r="636" spans="1:4" x14ac:dyDescent="0.3">
      <c r="A636">
        <v>2023</v>
      </c>
      <c r="B636" t="s">
        <v>120</v>
      </c>
      <c r="C636">
        <v>30</v>
      </c>
      <c r="D636">
        <v>225.35588128801601</v>
      </c>
    </row>
    <row r="637" spans="1:4" x14ac:dyDescent="0.3">
      <c r="A637">
        <v>2023</v>
      </c>
      <c r="B637" t="s">
        <v>120</v>
      </c>
      <c r="C637">
        <v>35</v>
      </c>
      <c r="D637">
        <v>258.408077210258</v>
      </c>
    </row>
    <row r="638" spans="1:4" x14ac:dyDescent="0.3">
      <c r="A638">
        <v>2023</v>
      </c>
      <c r="B638" t="s">
        <v>120</v>
      </c>
      <c r="C638">
        <v>40</v>
      </c>
      <c r="D638">
        <v>291.46027313249999</v>
      </c>
    </row>
    <row r="639" spans="1:4" x14ac:dyDescent="0.3">
      <c r="A639">
        <v>2023</v>
      </c>
      <c r="B639" t="s">
        <v>120</v>
      </c>
      <c r="C639">
        <v>45</v>
      </c>
      <c r="D639">
        <v>375.59313548002598</v>
      </c>
    </row>
    <row r="640" spans="1:4" x14ac:dyDescent="0.3">
      <c r="A640">
        <v>2023</v>
      </c>
      <c r="B640" t="s">
        <v>120</v>
      </c>
      <c r="C640">
        <v>50</v>
      </c>
      <c r="D640">
        <v>451.713344270645</v>
      </c>
    </row>
    <row r="641" spans="1:4" x14ac:dyDescent="0.3">
      <c r="A641">
        <v>2023</v>
      </c>
      <c r="B641" t="s">
        <v>120</v>
      </c>
      <c r="C641">
        <v>55</v>
      </c>
      <c r="D641">
        <v>537.84937000739706</v>
      </c>
    </row>
    <row r="642" spans="1:4" x14ac:dyDescent="0.3">
      <c r="A642">
        <v>2023</v>
      </c>
      <c r="B642" t="s">
        <v>120</v>
      </c>
      <c r="C642">
        <v>60</v>
      </c>
      <c r="D642">
        <v>565.89365745657301</v>
      </c>
    </row>
    <row r="643" spans="1:4" x14ac:dyDescent="0.3">
      <c r="A643">
        <v>2023</v>
      </c>
      <c r="B643" t="s">
        <v>120</v>
      </c>
      <c r="C643">
        <v>65</v>
      </c>
      <c r="D643">
        <v>648.02335641487196</v>
      </c>
    </row>
    <row r="644" spans="1:4" x14ac:dyDescent="0.3">
      <c r="A644">
        <v>2023</v>
      </c>
      <c r="B644" t="s">
        <v>120</v>
      </c>
      <c r="C644">
        <v>70</v>
      </c>
      <c r="D644">
        <v>675.06606216943396</v>
      </c>
    </row>
    <row r="645" spans="1:4" x14ac:dyDescent="0.3">
      <c r="A645">
        <v>2023</v>
      </c>
      <c r="B645" t="s">
        <v>120</v>
      </c>
      <c r="C645">
        <v>75</v>
      </c>
      <c r="D645">
        <v>639.00912116335098</v>
      </c>
    </row>
    <row r="646" spans="1:4" x14ac:dyDescent="0.3">
      <c r="A646">
        <v>2023</v>
      </c>
      <c r="B646" t="s">
        <v>120</v>
      </c>
      <c r="C646">
        <v>80</v>
      </c>
      <c r="D646">
        <v>588.93003643268105</v>
      </c>
    </row>
    <row r="647" spans="1:4" x14ac:dyDescent="0.3">
      <c r="A647">
        <v>2023</v>
      </c>
      <c r="B647" t="s">
        <v>120</v>
      </c>
      <c r="C647">
        <v>85</v>
      </c>
      <c r="D647">
        <v>959.51526343963997</v>
      </c>
    </row>
    <row r="648" spans="1:4" x14ac:dyDescent="0.3">
      <c r="A648">
        <v>2024</v>
      </c>
      <c r="B648" t="s">
        <v>120</v>
      </c>
      <c r="C648">
        <v>0</v>
      </c>
      <c r="D648">
        <v>148.083099382369</v>
      </c>
    </row>
    <row r="649" spans="1:4" x14ac:dyDescent="0.3">
      <c r="A649">
        <v>2024</v>
      </c>
      <c r="B649" t="s">
        <v>120</v>
      </c>
      <c r="C649">
        <v>1</v>
      </c>
      <c r="D649">
        <v>36.020213363279098</v>
      </c>
    </row>
    <row r="650" spans="1:4" x14ac:dyDescent="0.3">
      <c r="A650">
        <v>2024</v>
      </c>
      <c r="B650" t="s">
        <v>120</v>
      </c>
      <c r="C650">
        <v>5</v>
      </c>
      <c r="D650">
        <v>30.016844469399199</v>
      </c>
    </row>
    <row r="651" spans="1:4" x14ac:dyDescent="0.3">
      <c r="A651">
        <v>2024</v>
      </c>
      <c r="B651" t="s">
        <v>120</v>
      </c>
      <c r="C651">
        <v>10</v>
      </c>
      <c r="D651">
        <v>39.021897810219002</v>
      </c>
    </row>
    <row r="652" spans="1:4" x14ac:dyDescent="0.3">
      <c r="A652">
        <v>2024</v>
      </c>
      <c r="B652" t="s">
        <v>120</v>
      </c>
      <c r="C652">
        <v>15</v>
      </c>
      <c r="D652">
        <v>93.052217855137599</v>
      </c>
    </row>
    <row r="653" spans="1:4" x14ac:dyDescent="0.3">
      <c r="A653">
        <v>2024</v>
      </c>
      <c r="B653" t="s">
        <v>120</v>
      </c>
      <c r="C653">
        <v>20</v>
      </c>
      <c r="D653">
        <v>155.08702975856301</v>
      </c>
    </row>
    <row r="654" spans="1:4" x14ac:dyDescent="0.3">
      <c r="A654">
        <v>2024</v>
      </c>
      <c r="B654" t="s">
        <v>120</v>
      </c>
      <c r="C654">
        <v>25</v>
      </c>
      <c r="D654">
        <v>181.10162829870899</v>
      </c>
    </row>
    <row r="655" spans="1:4" x14ac:dyDescent="0.3">
      <c r="A655">
        <v>2024</v>
      </c>
      <c r="B655" t="s">
        <v>120</v>
      </c>
      <c r="C655">
        <v>30</v>
      </c>
      <c r="D655">
        <v>228.128017967434</v>
      </c>
    </row>
    <row r="656" spans="1:4" x14ac:dyDescent="0.3">
      <c r="A656">
        <v>2024</v>
      </c>
      <c r="B656" t="s">
        <v>120</v>
      </c>
      <c r="C656">
        <v>35</v>
      </c>
      <c r="D656">
        <v>274.15384615384602</v>
      </c>
    </row>
    <row r="657" spans="1:4" x14ac:dyDescent="0.3">
      <c r="A657">
        <v>2024</v>
      </c>
      <c r="B657" t="s">
        <v>120</v>
      </c>
      <c r="C657">
        <v>40</v>
      </c>
      <c r="D657">
        <v>314.17630544637802</v>
      </c>
    </row>
    <row r="658" spans="1:4" x14ac:dyDescent="0.3">
      <c r="A658">
        <v>2024</v>
      </c>
      <c r="B658" t="s">
        <v>120</v>
      </c>
      <c r="C658">
        <v>45</v>
      </c>
      <c r="D658">
        <v>338.189781021898</v>
      </c>
    </row>
    <row r="659" spans="1:4" x14ac:dyDescent="0.3">
      <c r="A659">
        <v>2024</v>
      </c>
      <c r="B659" t="s">
        <v>120</v>
      </c>
      <c r="C659">
        <v>50</v>
      </c>
      <c r="D659">
        <v>484.27175743964102</v>
      </c>
    </row>
    <row r="660" spans="1:4" x14ac:dyDescent="0.3">
      <c r="A660">
        <v>2024</v>
      </c>
      <c r="B660" t="s">
        <v>120</v>
      </c>
      <c r="C660">
        <v>55</v>
      </c>
      <c r="D660">
        <v>513.28804042672698</v>
      </c>
    </row>
    <row r="661" spans="1:4" x14ac:dyDescent="0.3">
      <c r="A661">
        <v>2024</v>
      </c>
      <c r="B661" t="s">
        <v>120</v>
      </c>
      <c r="C661">
        <v>60</v>
      </c>
      <c r="D661">
        <v>618.34699606962397</v>
      </c>
    </row>
    <row r="662" spans="1:4" x14ac:dyDescent="0.3">
      <c r="A662">
        <v>2024</v>
      </c>
      <c r="B662" t="s">
        <v>120</v>
      </c>
      <c r="C662">
        <v>65</v>
      </c>
      <c r="D662">
        <v>676.379562043796</v>
      </c>
    </row>
    <row r="663" spans="1:4" x14ac:dyDescent="0.3">
      <c r="A663">
        <v>2024</v>
      </c>
      <c r="B663" t="s">
        <v>120</v>
      </c>
      <c r="C663">
        <v>70</v>
      </c>
      <c r="D663">
        <v>688.38629983155499</v>
      </c>
    </row>
    <row r="664" spans="1:4" x14ac:dyDescent="0.3">
      <c r="A664">
        <v>2024</v>
      </c>
      <c r="B664" t="s">
        <v>120</v>
      </c>
      <c r="C664">
        <v>75</v>
      </c>
      <c r="D664">
        <v>675.37900056148203</v>
      </c>
    </row>
    <row r="665" spans="1:4" x14ac:dyDescent="0.3">
      <c r="A665">
        <v>2024</v>
      </c>
      <c r="B665" t="s">
        <v>120</v>
      </c>
      <c r="C665">
        <v>80</v>
      </c>
      <c r="D665">
        <v>615.34531162268399</v>
      </c>
    </row>
    <row r="666" spans="1:4" x14ac:dyDescent="0.3">
      <c r="A666">
        <v>2024</v>
      </c>
      <c r="B666" t="s">
        <v>120</v>
      </c>
      <c r="C666">
        <v>85</v>
      </c>
      <c r="D666">
        <v>1019.57215047726</v>
      </c>
    </row>
    <row r="667" spans="1:4" x14ac:dyDescent="0.3">
      <c r="A667">
        <v>1990</v>
      </c>
      <c r="B667" t="s">
        <v>121</v>
      </c>
      <c r="C667">
        <v>0</v>
      </c>
      <c r="D667">
        <v>630.00535000434695</v>
      </c>
    </row>
    <row r="668" spans="1:4" x14ac:dyDescent="0.3">
      <c r="A668">
        <v>1990</v>
      </c>
      <c r="B668" t="s">
        <v>121</v>
      </c>
      <c r="C668">
        <v>1</v>
      </c>
      <c r="D668">
        <v>151.77019458101901</v>
      </c>
    </row>
    <row r="669" spans="1:4" x14ac:dyDescent="0.3">
      <c r="A669">
        <v>1990</v>
      </c>
      <c r="B669" t="s">
        <v>121</v>
      </c>
      <c r="C669">
        <v>5</v>
      </c>
      <c r="D669">
        <v>36.914655706884503</v>
      </c>
    </row>
    <row r="670" spans="1:4" x14ac:dyDescent="0.3">
      <c r="A670">
        <v>1990</v>
      </c>
      <c r="B670" t="s">
        <v>121</v>
      </c>
      <c r="C670">
        <v>10</v>
      </c>
      <c r="D670">
        <v>35.490479174983101</v>
      </c>
    </row>
    <row r="671" spans="1:4" x14ac:dyDescent="0.3">
      <c r="A671">
        <v>1990</v>
      </c>
      <c r="B671" t="s">
        <v>121</v>
      </c>
      <c r="C671">
        <v>15</v>
      </c>
      <c r="D671">
        <v>38.873516001523903</v>
      </c>
    </row>
    <row r="672" spans="1:4" x14ac:dyDescent="0.3">
      <c r="A672">
        <v>1990</v>
      </c>
      <c r="B672" t="s">
        <v>121</v>
      </c>
      <c r="C672">
        <v>20</v>
      </c>
      <c r="D672">
        <v>38.078484266207901</v>
      </c>
    </row>
    <row r="673" spans="1:4" x14ac:dyDescent="0.3">
      <c r="A673">
        <v>1990</v>
      </c>
      <c r="B673" t="s">
        <v>121</v>
      </c>
      <c r="C673">
        <v>25</v>
      </c>
      <c r="D673">
        <v>37.782721391315</v>
      </c>
    </row>
    <row r="674" spans="1:4" x14ac:dyDescent="0.3">
      <c r="A674">
        <v>1990</v>
      </c>
      <c r="B674" t="s">
        <v>121</v>
      </c>
      <c r="C674">
        <v>30</v>
      </c>
      <c r="D674">
        <v>41.574561319265896</v>
      </c>
    </row>
    <row r="675" spans="1:4" x14ac:dyDescent="0.3">
      <c r="A675">
        <v>1990</v>
      </c>
      <c r="B675" t="s">
        <v>121</v>
      </c>
      <c r="C675">
        <v>35</v>
      </c>
      <c r="D675">
        <v>56.1662902445022</v>
      </c>
    </row>
    <row r="676" spans="1:4" x14ac:dyDescent="0.3">
      <c r="A676">
        <v>1990</v>
      </c>
      <c r="B676" t="s">
        <v>121</v>
      </c>
      <c r="C676">
        <v>40</v>
      </c>
      <c r="D676">
        <v>60.840821442828201</v>
      </c>
    </row>
    <row r="677" spans="1:4" x14ac:dyDescent="0.3">
      <c r="A677">
        <v>1990</v>
      </c>
      <c r="B677" t="s">
        <v>121</v>
      </c>
      <c r="C677">
        <v>45</v>
      </c>
      <c r="D677">
        <v>53.235718762474697</v>
      </c>
    </row>
    <row r="678" spans="1:4" x14ac:dyDescent="0.3">
      <c r="A678">
        <v>1990</v>
      </c>
      <c r="B678" t="s">
        <v>121</v>
      </c>
      <c r="C678">
        <v>50</v>
      </c>
      <c r="D678">
        <v>72.680638441067501</v>
      </c>
    </row>
    <row r="679" spans="1:4" x14ac:dyDescent="0.3">
      <c r="A679">
        <v>1990</v>
      </c>
      <c r="B679" t="s">
        <v>121</v>
      </c>
      <c r="C679">
        <v>55</v>
      </c>
      <c r="D679">
        <v>105.82615608540399</v>
      </c>
    </row>
    <row r="680" spans="1:4" x14ac:dyDescent="0.3">
      <c r="A680">
        <v>1990</v>
      </c>
      <c r="B680" t="s">
        <v>121</v>
      </c>
      <c r="C680">
        <v>60</v>
      </c>
      <c r="D680">
        <v>121.131735461077</v>
      </c>
    </row>
    <row r="681" spans="1:4" x14ac:dyDescent="0.3">
      <c r="A681">
        <v>1990</v>
      </c>
      <c r="B681" t="s">
        <v>121</v>
      </c>
      <c r="C681">
        <v>65</v>
      </c>
      <c r="D681">
        <v>121.09401657725699</v>
      </c>
    </row>
    <row r="682" spans="1:4" x14ac:dyDescent="0.3">
      <c r="A682">
        <v>1990</v>
      </c>
      <c r="B682" t="s">
        <v>121</v>
      </c>
      <c r="C682">
        <v>70</v>
      </c>
      <c r="D682">
        <v>118.639601813515</v>
      </c>
    </row>
    <row r="683" spans="1:4" x14ac:dyDescent="0.3">
      <c r="A683">
        <v>1990</v>
      </c>
      <c r="B683" t="s">
        <v>121</v>
      </c>
      <c r="C683">
        <v>75</v>
      </c>
      <c r="D683">
        <v>169.285396719223</v>
      </c>
    </row>
    <row r="684" spans="1:4" x14ac:dyDescent="0.3">
      <c r="A684">
        <v>1990</v>
      </c>
      <c r="B684" t="s">
        <v>121</v>
      </c>
      <c r="C684">
        <v>80</v>
      </c>
      <c r="D684">
        <v>169.26402348110099</v>
      </c>
    </row>
    <row r="685" spans="1:4" x14ac:dyDescent="0.3">
      <c r="A685">
        <v>1990</v>
      </c>
      <c r="B685" t="s">
        <v>121</v>
      </c>
      <c r="C685">
        <v>85</v>
      </c>
      <c r="D685">
        <v>376.73573985290199</v>
      </c>
    </row>
    <row r="686" spans="1:4" x14ac:dyDescent="0.3">
      <c r="A686">
        <v>1991</v>
      </c>
      <c r="B686" t="s">
        <v>121</v>
      </c>
      <c r="C686">
        <v>0</v>
      </c>
      <c r="D686">
        <v>509.29495076975701</v>
      </c>
    </row>
    <row r="687" spans="1:4" x14ac:dyDescent="0.3">
      <c r="A687">
        <v>1991</v>
      </c>
      <c r="B687" t="s">
        <v>121</v>
      </c>
      <c r="C687">
        <v>1</v>
      </c>
      <c r="D687">
        <v>102.43425499176701</v>
      </c>
    </row>
    <row r="688" spans="1:4" x14ac:dyDescent="0.3">
      <c r="A688">
        <v>1991</v>
      </c>
      <c r="B688" t="s">
        <v>121</v>
      </c>
      <c r="C688">
        <v>5</v>
      </c>
      <c r="D688">
        <v>30.9089689744136</v>
      </c>
    </row>
    <row r="689" spans="1:4" x14ac:dyDescent="0.3">
      <c r="A689">
        <v>1991</v>
      </c>
      <c r="B689" t="s">
        <v>121</v>
      </c>
      <c r="C689">
        <v>10</v>
      </c>
      <c r="D689">
        <v>27.383414700769499</v>
      </c>
    </row>
    <row r="690" spans="1:4" x14ac:dyDescent="0.3">
      <c r="A690">
        <v>1991</v>
      </c>
      <c r="B690" t="s">
        <v>121</v>
      </c>
      <c r="C690">
        <v>15</v>
      </c>
      <c r="D690">
        <v>33.468617967607202</v>
      </c>
    </row>
    <row r="691" spans="1:4" x14ac:dyDescent="0.3">
      <c r="A691">
        <v>1991</v>
      </c>
      <c r="B691" t="s">
        <v>121</v>
      </c>
      <c r="C691">
        <v>20</v>
      </c>
      <c r="D691">
        <v>33.468617967607202</v>
      </c>
    </row>
    <row r="692" spans="1:4" x14ac:dyDescent="0.3">
      <c r="A692">
        <v>1991</v>
      </c>
      <c r="B692" t="s">
        <v>121</v>
      </c>
      <c r="C692">
        <v>25</v>
      </c>
      <c r="D692">
        <v>31.4402168786613</v>
      </c>
    </row>
    <row r="693" spans="1:4" x14ac:dyDescent="0.3">
      <c r="A693">
        <v>1991</v>
      </c>
      <c r="B693" t="s">
        <v>121</v>
      </c>
      <c r="C693">
        <v>30</v>
      </c>
      <c r="D693">
        <v>48.681626134701403</v>
      </c>
    </row>
    <row r="694" spans="1:4" x14ac:dyDescent="0.3">
      <c r="A694">
        <v>1991</v>
      </c>
      <c r="B694" t="s">
        <v>121</v>
      </c>
      <c r="C694">
        <v>35</v>
      </c>
      <c r="D694">
        <v>50.710027223647202</v>
      </c>
    </row>
    <row r="695" spans="1:4" x14ac:dyDescent="0.3">
      <c r="A695">
        <v>1991</v>
      </c>
      <c r="B695" t="s">
        <v>121</v>
      </c>
      <c r="C695">
        <v>40</v>
      </c>
      <c r="D695">
        <v>50.710027223647202</v>
      </c>
    </row>
    <row r="696" spans="1:4" x14ac:dyDescent="0.3">
      <c r="A696">
        <v>1991</v>
      </c>
      <c r="B696" t="s">
        <v>121</v>
      </c>
      <c r="C696">
        <v>45</v>
      </c>
      <c r="D696">
        <v>66.937235935214403</v>
      </c>
    </row>
    <row r="697" spans="1:4" x14ac:dyDescent="0.3">
      <c r="A697">
        <v>1991</v>
      </c>
      <c r="B697" t="s">
        <v>121</v>
      </c>
      <c r="C697">
        <v>50</v>
      </c>
      <c r="D697">
        <v>62.880433757322599</v>
      </c>
    </row>
    <row r="698" spans="1:4" x14ac:dyDescent="0.3">
      <c r="A698">
        <v>1991</v>
      </c>
      <c r="B698" t="s">
        <v>121</v>
      </c>
      <c r="C698">
        <v>55</v>
      </c>
      <c r="D698">
        <v>89.2496479136191</v>
      </c>
    </row>
    <row r="699" spans="1:4" x14ac:dyDescent="0.3">
      <c r="A699">
        <v>1991</v>
      </c>
      <c r="B699" t="s">
        <v>121</v>
      </c>
      <c r="C699">
        <v>60</v>
      </c>
      <c r="D699">
        <v>106.87971066297899</v>
      </c>
    </row>
    <row r="700" spans="1:4" x14ac:dyDescent="0.3">
      <c r="A700">
        <v>1991</v>
      </c>
      <c r="B700" t="s">
        <v>121</v>
      </c>
      <c r="C700">
        <v>65</v>
      </c>
      <c r="D700">
        <v>130.26686578143801</v>
      </c>
    </row>
    <row r="701" spans="1:4" x14ac:dyDescent="0.3">
      <c r="A701">
        <v>1991</v>
      </c>
      <c r="B701" t="s">
        <v>121</v>
      </c>
      <c r="C701">
        <v>70</v>
      </c>
      <c r="D701">
        <v>160.77254307631799</v>
      </c>
    </row>
    <row r="702" spans="1:4" x14ac:dyDescent="0.3">
      <c r="A702">
        <v>1991</v>
      </c>
      <c r="B702" t="s">
        <v>121</v>
      </c>
      <c r="C702">
        <v>75</v>
      </c>
      <c r="D702">
        <v>161.72802618219299</v>
      </c>
    </row>
    <row r="703" spans="1:4" x14ac:dyDescent="0.3">
      <c r="A703">
        <v>1991</v>
      </c>
      <c r="B703" t="s">
        <v>121</v>
      </c>
      <c r="C703">
        <v>80</v>
      </c>
      <c r="D703">
        <v>209.94945584849199</v>
      </c>
    </row>
    <row r="704" spans="1:4" x14ac:dyDescent="0.3">
      <c r="A704">
        <v>1991</v>
      </c>
      <c r="B704" t="s">
        <v>121</v>
      </c>
      <c r="C704">
        <v>85</v>
      </c>
      <c r="D704">
        <v>449.689916042623</v>
      </c>
    </row>
    <row r="705" spans="1:4" x14ac:dyDescent="0.3">
      <c r="A705">
        <v>1992</v>
      </c>
      <c r="B705" t="s">
        <v>121</v>
      </c>
      <c r="C705">
        <v>0</v>
      </c>
      <c r="D705">
        <v>444.18577837723501</v>
      </c>
    </row>
    <row r="706" spans="1:4" x14ac:dyDescent="0.3">
      <c r="A706">
        <v>1992</v>
      </c>
      <c r="B706" t="s">
        <v>121</v>
      </c>
      <c r="C706">
        <v>1</v>
      </c>
      <c r="D706">
        <v>78.871918813140198</v>
      </c>
    </row>
    <row r="707" spans="1:4" x14ac:dyDescent="0.3">
      <c r="A707">
        <v>1992</v>
      </c>
      <c r="B707" t="s">
        <v>121</v>
      </c>
      <c r="C707">
        <v>5</v>
      </c>
      <c r="D707">
        <v>30.335353389669301</v>
      </c>
    </row>
    <row r="708" spans="1:4" x14ac:dyDescent="0.3">
      <c r="A708">
        <v>1992</v>
      </c>
      <c r="B708" t="s">
        <v>121</v>
      </c>
      <c r="C708">
        <v>10</v>
      </c>
      <c r="D708">
        <v>29.324174943347</v>
      </c>
    </row>
    <row r="709" spans="1:4" x14ac:dyDescent="0.3">
      <c r="A709">
        <v>1992</v>
      </c>
      <c r="B709" t="s">
        <v>121</v>
      </c>
      <c r="C709">
        <v>15</v>
      </c>
      <c r="D709">
        <v>29.324174943347</v>
      </c>
    </row>
    <row r="710" spans="1:4" x14ac:dyDescent="0.3">
      <c r="A710">
        <v>1992</v>
      </c>
      <c r="B710" t="s">
        <v>121</v>
      </c>
      <c r="C710">
        <v>20</v>
      </c>
      <c r="D710">
        <v>38.424780960247801</v>
      </c>
    </row>
    <row r="711" spans="1:4" x14ac:dyDescent="0.3">
      <c r="A711">
        <v>1992</v>
      </c>
      <c r="B711" t="s">
        <v>121</v>
      </c>
      <c r="C711">
        <v>25</v>
      </c>
      <c r="D711">
        <v>46.514208530826302</v>
      </c>
    </row>
    <row r="712" spans="1:4" x14ac:dyDescent="0.3">
      <c r="A712">
        <v>1992</v>
      </c>
      <c r="B712" t="s">
        <v>121</v>
      </c>
      <c r="C712">
        <v>30</v>
      </c>
      <c r="D712">
        <v>45.810482990480303</v>
      </c>
    </row>
    <row r="713" spans="1:4" x14ac:dyDescent="0.3">
      <c r="A713">
        <v>1992</v>
      </c>
      <c r="B713" t="s">
        <v>121</v>
      </c>
      <c r="C713">
        <v>35</v>
      </c>
      <c r="D713">
        <v>46.514208530826302</v>
      </c>
    </row>
    <row r="714" spans="1:4" x14ac:dyDescent="0.3">
      <c r="A714">
        <v>1992</v>
      </c>
      <c r="B714" t="s">
        <v>121</v>
      </c>
      <c r="C714">
        <v>40</v>
      </c>
      <c r="D714">
        <v>38.944034757007898</v>
      </c>
    </row>
    <row r="715" spans="1:4" x14ac:dyDescent="0.3">
      <c r="A715">
        <v>1992</v>
      </c>
      <c r="B715" t="s">
        <v>121</v>
      </c>
      <c r="C715">
        <v>45</v>
      </c>
      <c r="D715">
        <v>58.940132721951201</v>
      </c>
    </row>
    <row r="716" spans="1:4" x14ac:dyDescent="0.3">
      <c r="A716">
        <v>1992</v>
      </c>
      <c r="B716" t="s">
        <v>121</v>
      </c>
      <c r="C716">
        <v>50</v>
      </c>
      <c r="D716">
        <v>83.634525521359507</v>
      </c>
    </row>
    <row r="717" spans="1:4" x14ac:dyDescent="0.3">
      <c r="A717">
        <v>1992</v>
      </c>
      <c r="B717" t="s">
        <v>121</v>
      </c>
      <c r="C717">
        <v>55</v>
      </c>
      <c r="D717">
        <v>102.871779610034</v>
      </c>
    </row>
    <row r="718" spans="1:4" x14ac:dyDescent="0.3">
      <c r="A718">
        <v>1992</v>
      </c>
      <c r="B718" t="s">
        <v>121</v>
      </c>
      <c r="C718">
        <v>60</v>
      </c>
      <c r="D718">
        <v>119.31905666603301</v>
      </c>
    </row>
    <row r="719" spans="1:4" x14ac:dyDescent="0.3">
      <c r="A719">
        <v>1992</v>
      </c>
      <c r="B719" t="s">
        <v>121</v>
      </c>
      <c r="C719">
        <v>65</v>
      </c>
      <c r="D719">
        <v>117.72635801431601</v>
      </c>
    </row>
    <row r="720" spans="1:4" x14ac:dyDescent="0.3">
      <c r="A720">
        <v>1992</v>
      </c>
      <c r="B720" t="s">
        <v>121</v>
      </c>
      <c r="C720">
        <v>70</v>
      </c>
      <c r="D720">
        <v>152.68794539466899</v>
      </c>
    </row>
    <row r="721" spans="1:4" x14ac:dyDescent="0.3">
      <c r="A721">
        <v>1992</v>
      </c>
      <c r="B721" t="s">
        <v>121</v>
      </c>
      <c r="C721">
        <v>75</v>
      </c>
      <c r="D721">
        <v>174.93387121376</v>
      </c>
    </row>
    <row r="722" spans="1:4" x14ac:dyDescent="0.3">
      <c r="A722">
        <v>1992</v>
      </c>
      <c r="B722" t="s">
        <v>121</v>
      </c>
      <c r="C722">
        <v>80</v>
      </c>
      <c r="D722">
        <v>198.67436810229299</v>
      </c>
    </row>
    <row r="723" spans="1:4" x14ac:dyDescent="0.3">
      <c r="A723">
        <v>1992</v>
      </c>
      <c r="B723" t="s">
        <v>121</v>
      </c>
      <c r="C723">
        <v>85</v>
      </c>
      <c r="D723">
        <v>424.40960120887399</v>
      </c>
    </row>
    <row r="724" spans="1:4" x14ac:dyDescent="0.3">
      <c r="A724">
        <v>1993</v>
      </c>
      <c r="B724" t="s">
        <v>121</v>
      </c>
      <c r="C724">
        <v>0</v>
      </c>
      <c r="D724">
        <v>479.42387538375601</v>
      </c>
    </row>
    <row r="725" spans="1:4" x14ac:dyDescent="0.3">
      <c r="A725">
        <v>1993</v>
      </c>
      <c r="B725" t="s">
        <v>121</v>
      </c>
      <c r="C725">
        <v>1</v>
      </c>
      <c r="D725">
        <v>74.058343156504293</v>
      </c>
    </row>
    <row r="726" spans="1:4" x14ac:dyDescent="0.3">
      <c r="A726">
        <v>1993</v>
      </c>
      <c r="B726" t="s">
        <v>121</v>
      </c>
      <c r="C726">
        <v>5</v>
      </c>
      <c r="D726">
        <v>18.267724645271102</v>
      </c>
    </row>
    <row r="727" spans="1:4" x14ac:dyDescent="0.3">
      <c r="A727">
        <v>1993</v>
      </c>
      <c r="B727" t="s">
        <v>121</v>
      </c>
      <c r="C727">
        <v>10</v>
      </c>
      <c r="D727">
        <v>30.4462077421184</v>
      </c>
    </row>
    <row r="728" spans="1:4" x14ac:dyDescent="0.3">
      <c r="A728">
        <v>1993</v>
      </c>
      <c r="B728" t="s">
        <v>121</v>
      </c>
      <c r="C728">
        <v>15</v>
      </c>
      <c r="D728">
        <v>27.401586967906599</v>
      </c>
    </row>
    <row r="729" spans="1:4" x14ac:dyDescent="0.3">
      <c r="A729">
        <v>1993</v>
      </c>
      <c r="B729" t="s">
        <v>121</v>
      </c>
      <c r="C729">
        <v>20</v>
      </c>
      <c r="D729">
        <v>41.609817247561899</v>
      </c>
    </row>
    <row r="730" spans="1:4" x14ac:dyDescent="0.3">
      <c r="A730">
        <v>1993</v>
      </c>
      <c r="B730" t="s">
        <v>121</v>
      </c>
      <c r="C730">
        <v>25</v>
      </c>
      <c r="D730">
        <v>33.490828516330303</v>
      </c>
    </row>
    <row r="731" spans="1:4" x14ac:dyDescent="0.3">
      <c r="A731">
        <v>1993</v>
      </c>
      <c r="B731" t="s">
        <v>121</v>
      </c>
      <c r="C731">
        <v>30</v>
      </c>
      <c r="D731">
        <v>42.624690838965797</v>
      </c>
    </row>
    <row r="732" spans="1:4" x14ac:dyDescent="0.3">
      <c r="A732">
        <v>1993</v>
      </c>
      <c r="B732" t="s">
        <v>121</v>
      </c>
      <c r="C732">
        <v>35</v>
      </c>
      <c r="D732">
        <v>58.862668301428997</v>
      </c>
    </row>
    <row r="733" spans="1:4" x14ac:dyDescent="0.3">
      <c r="A733">
        <v>1993</v>
      </c>
      <c r="B733" t="s">
        <v>121</v>
      </c>
      <c r="C733">
        <v>40</v>
      </c>
      <c r="D733">
        <v>60.175440111205198</v>
      </c>
    </row>
    <row r="734" spans="1:4" x14ac:dyDescent="0.3">
      <c r="A734">
        <v>1993</v>
      </c>
      <c r="B734" t="s">
        <v>121</v>
      </c>
      <c r="C734">
        <v>45</v>
      </c>
      <c r="D734">
        <v>72.056024989680296</v>
      </c>
    </row>
    <row r="735" spans="1:4" x14ac:dyDescent="0.3">
      <c r="A735">
        <v>1993</v>
      </c>
      <c r="B735" t="s">
        <v>121</v>
      </c>
      <c r="C735">
        <v>50</v>
      </c>
      <c r="D735">
        <v>70.0262778068724</v>
      </c>
    </row>
    <row r="736" spans="1:4" x14ac:dyDescent="0.3">
      <c r="A736">
        <v>1993</v>
      </c>
      <c r="B736" t="s">
        <v>121</v>
      </c>
      <c r="C736">
        <v>55</v>
      </c>
      <c r="D736">
        <v>95.398117591971101</v>
      </c>
    </row>
    <row r="737" spans="1:4" x14ac:dyDescent="0.3">
      <c r="A737">
        <v>1993</v>
      </c>
      <c r="B737" t="s">
        <v>121</v>
      </c>
      <c r="C737">
        <v>60</v>
      </c>
      <c r="D737">
        <v>119.755083785666</v>
      </c>
    </row>
    <row r="738" spans="1:4" x14ac:dyDescent="0.3">
      <c r="A738">
        <v>1993</v>
      </c>
      <c r="B738" t="s">
        <v>121</v>
      </c>
      <c r="C738">
        <v>65</v>
      </c>
      <c r="D738">
        <v>147.592045519116</v>
      </c>
    </row>
    <row r="739" spans="1:4" x14ac:dyDescent="0.3">
      <c r="A739">
        <v>1993</v>
      </c>
      <c r="B739" t="s">
        <v>121</v>
      </c>
      <c r="C739">
        <v>70</v>
      </c>
      <c r="D739">
        <v>139.03768202234099</v>
      </c>
    </row>
    <row r="740" spans="1:4" x14ac:dyDescent="0.3">
      <c r="A740">
        <v>1993</v>
      </c>
      <c r="B740" t="s">
        <v>121</v>
      </c>
      <c r="C740">
        <v>75</v>
      </c>
      <c r="D740">
        <v>121.784830968474</v>
      </c>
    </row>
    <row r="741" spans="1:4" x14ac:dyDescent="0.3">
      <c r="A741">
        <v>1993</v>
      </c>
      <c r="B741" t="s">
        <v>121</v>
      </c>
      <c r="C741">
        <v>80</v>
      </c>
      <c r="D741">
        <v>205.004465463597</v>
      </c>
    </row>
    <row r="742" spans="1:4" x14ac:dyDescent="0.3">
      <c r="A742">
        <v>1993</v>
      </c>
      <c r="B742" t="s">
        <v>121</v>
      </c>
      <c r="C742">
        <v>85</v>
      </c>
      <c r="D742">
        <v>389.26155147501998</v>
      </c>
    </row>
    <row r="743" spans="1:4" x14ac:dyDescent="0.3">
      <c r="A743">
        <v>1994</v>
      </c>
      <c r="B743" t="s">
        <v>121</v>
      </c>
      <c r="C743">
        <v>0</v>
      </c>
      <c r="D743">
        <v>401.51628079220899</v>
      </c>
    </row>
    <row r="744" spans="1:4" x14ac:dyDescent="0.3">
      <c r="A744">
        <v>1994</v>
      </c>
      <c r="B744" t="s">
        <v>121</v>
      </c>
      <c r="C744">
        <v>1</v>
      </c>
      <c r="D744">
        <v>84.703690156171106</v>
      </c>
    </row>
    <row r="745" spans="1:4" x14ac:dyDescent="0.3">
      <c r="A745">
        <v>1994</v>
      </c>
      <c r="B745" t="s">
        <v>121</v>
      </c>
      <c r="C745">
        <v>5</v>
      </c>
      <c r="D745">
        <v>34.284826967973999</v>
      </c>
    </row>
    <row r="746" spans="1:4" x14ac:dyDescent="0.3">
      <c r="A746">
        <v>1994</v>
      </c>
      <c r="B746" t="s">
        <v>121</v>
      </c>
      <c r="C746">
        <v>10</v>
      </c>
      <c r="D746">
        <v>23.192677066570699</v>
      </c>
    </row>
    <row r="747" spans="1:4" x14ac:dyDescent="0.3">
      <c r="A747">
        <v>1994</v>
      </c>
      <c r="B747" t="s">
        <v>121</v>
      </c>
      <c r="C747">
        <v>15</v>
      </c>
      <c r="D747">
        <v>36.3015814955019</v>
      </c>
    </row>
    <row r="748" spans="1:4" x14ac:dyDescent="0.3">
      <c r="A748">
        <v>1994</v>
      </c>
      <c r="B748" t="s">
        <v>121</v>
      </c>
      <c r="C748">
        <v>20</v>
      </c>
      <c r="D748">
        <v>36.3015814955019</v>
      </c>
    </row>
    <row r="749" spans="1:4" x14ac:dyDescent="0.3">
      <c r="A749">
        <v>1994</v>
      </c>
      <c r="B749" t="s">
        <v>121</v>
      </c>
      <c r="C749">
        <v>25</v>
      </c>
      <c r="D749">
        <v>36.537306050667503</v>
      </c>
    </row>
    <row r="750" spans="1:4" x14ac:dyDescent="0.3">
      <c r="A750">
        <v>1994</v>
      </c>
      <c r="B750" t="s">
        <v>121</v>
      </c>
      <c r="C750">
        <v>30</v>
      </c>
      <c r="D750">
        <v>48.402108660669199</v>
      </c>
    </row>
    <row r="751" spans="1:4" x14ac:dyDescent="0.3">
      <c r="A751">
        <v>1994</v>
      </c>
      <c r="B751" t="s">
        <v>121</v>
      </c>
      <c r="C751">
        <v>35</v>
      </c>
      <c r="D751">
        <v>73.611540254767704</v>
      </c>
    </row>
    <row r="752" spans="1:4" x14ac:dyDescent="0.3">
      <c r="A752">
        <v>1994</v>
      </c>
      <c r="B752" t="s">
        <v>121</v>
      </c>
      <c r="C752">
        <v>40</v>
      </c>
      <c r="D752">
        <v>60.502635825836499</v>
      </c>
    </row>
    <row r="753" spans="1:4" x14ac:dyDescent="0.3">
      <c r="A753">
        <v>1994</v>
      </c>
      <c r="B753" t="s">
        <v>121</v>
      </c>
      <c r="C753">
        <v>45</v>
      </c>
      <c r="D753">
        <v>67.561276672184107</v>
      </c>
    </row>
    <row r="754" spans="1:4" x14ac:dyDescent="0.3">
      <c r="A754">
        <v>1994</v>
      </c>
      <c r="B754" t="s">
        <v>121</v>
      </c>
      <c r="C754">
        <v>50</v>
      </c>
      <c r="D754">
        <v>81.678558364879294</v>
      </c>
    </row>
    <row r="755" spans="1:4" x14ac:dyDescent="0.3">
      <c r="A755">
        <v>1994</v>
      </c>
      <c r="B755" t="s">
        <v>121</v>
      </c>
      <c r="C755">
        <v>55</v>
      </c>
      <c r="D755">
        <v>107.896367222742</v>
      </c>
    </row>
    <row r="756" spans="1:4" x14ac:dyDescent="0.3">
      <c r="A756">
        <v>1994</v>
      </c>
      <c r="B756" t="s">
        <v>121</v>
      </c>
      <c r="C756">
        <v>60</v>
      </c>
      <c r="D756">
        <v>124.030403442965</v>
      </c>
    </row>
    <row r="757" spans="1:4" x14ac:dyDescent="0.3">
      <c r="A757">
        <v>1994</v>
      </c>
      <c r="B757" t="s">
        <v>121</v>
      </c>
      <c r="C757">
        <v>65</v>
      </c>
      <c r="D757">
        <v>146.214703245772</v>
      </c>
    </row>
    <row r="758" spans="1:4" x14ac:dyDescent="0.3">
      <c r="A758">
        <v>1994</v>
      </c>
      <c r="B758" t="s">
        <v>121</v>
      </c>
      <c r="C758">
        <v>70</v>
      </c>
      <c r="D758">
        <v>166.38224852105</v>
      </c>
    </row>
    <row r="759" spans="1:4" x14ac:dyDescent="0.3">
      <c r="A759">
        <v>1994</v>
      </c>
      <c r="B759" t="s">
        <v>121</v>
      </c>
      <c r="C759">
        <v>75</v>
      </c>
      <c r="D759">
        <v>148.23145777329901</v>
      </c>
    </row>
    <row r="760" spans="1:4" x14ac:dyDescent="0.3">
      <c r="A760">
        <v>1994</v>
      </c>
      <c r="B760" t="s">
        <v>121</v>
      </c>
      <c r="C760">
        <v>80</v>
      </c>
      <c r="D760">
        <v>214.78435718172</v>
      </c>
    </row>
    <row r="761" spans="1:4" x14ac:dyDescent="0.3">
      <c r="A761">
        <v>1994</v>
      </c>
      <c r="B761" t="s">
        <v>121</v>
      </c>
      <c r="C761">
        <v>85</v>
      </c>
      <c r="D761">
        <v>515.28078178337398</v>
      </c>
    </row>
    <row r="762" spans="1:4" x14ac:dyDescent="0.3">
      <c r="A762">
        <v>1995</v>
      </c>
      <c r="B762" t="s">
        <v>121</v>
      </c>
      <c r="C762">
        <v>0</v>
      </c>
      <c r="D762">
        <v>401.02631485771201</v>
      </c>
    </row>
    <row r="763" spans="1:4" x14ac:dyDescent="0.3">
      <c r="A763">
        <v>1995</v>
      </c>
      <c r="B763" t="s">
        <v>121</v>
      </c>
      <c r="C763">
        <v>1</v>
      </c>
      <c r="D763">
        <v>79.801206231131601</v>
      </c>
    </row>
    <row r="764" spans="1:4" x14ac:dyDescent="0.3">
      <c r="A764">
        <v>1995</v>
      </c>
      <c r="B764" t="s">
        <v>121</v>
      </c>
      <c r="C764">
        <v>5</v>
      </c>
      <c r="D764">
        <v>22.223120722593599</v>
      </c>
    </row>
    <row r="765" spans="1:4" x14ac:dyDescent="0.3">
      <c r="A765">
        <v>1995</v>
      </c>
      <c r="B765" t="s">
        <v>121</v>
      </c>
      <c r="C765">
        <v>10</v>
      </c>
      <c r="D765">
        <v>29.294113679782502</v>
      </c>
    </row>
    <row r="766" spans="1:4" x14ac:dyDescent="0.3">
      <c r="A766">
        <v>1995</v>
      </c>
      <c r="B766" t="s">
        <v>121</v>
      </c>
      <c r="C766">
        <v>15</v>
      </c>
      <c r="D766">
        <v>33.334681083890402</v>
      </c>
    </row>
    <row r="767" spans="1:4" x14ac:dyDescent="0.3">
      <c r="A767">
        <v>1995</v>
      </c>
      <c r="B767" t="s">
        <v>121</v>
      </c>
      <c r="C767">
        <v>20</v>
      </c>
      <c r="D767">
        <v>45.456383296214199</v>
      </c>
    </row>
    <row r="768" spans="1:4" x14ac:dyDescent="0.3">
      <c r="A768">
        <v>1995</v>
      </c>
      <c r="B768" t="s">
        <v>121</v>
      </c>
      <c r="C768">
        <v>25</v>
      </c>
      <c r="D768">
        <v>35.354964785944397</v>
      </c>
    </row>
    <row r="769" spans="1:4" x14ac:dyDescent="0.3">
      <c r="A769">
        <v>1995</v>
      </c>
      <c r="B769" t="s">
        <v>121</v>
      </c>
      <c r="C769">
        <v>30</v>
      </c>
      <c r="D769">
        <v>46.4665251472412</v>
      </c>
    </row>
    <row r="770" spans="1:4" x14ac:dyDescent="0.3">
      <c r="A770">
        <v>1995</v>
      </c>
      <c r="B770" t="s">
        <v>121</v>
      </c>
      <c r="C770">
        <v>35</v>
      </c>
      <c r="D770">
        <v>53.537518104429999</v>
      </c>
    </row>
    <row r="771" spans="1:4" x14ac:dyDescent="0.3">
      <c r="A771">
        <v>1995</v>
      </c>
      <c r="B771" t="s">
        <v>121</v>
      </c>
      <c r="C771">
        <v>40</v>
      </c>
      <c r="D771">
        <v>52.527376253403098</v>
      </c>
    </row>
    <row r="772" spans="1:4" x14ac:dyDescent="0.3">
      <c r="A772">
        <v>1995</v>
      </c>
      <c r="B772" t="s">
        <v>121</v>
      </c>
      <c r="C772">
        <v>45</v>
      </c>
      <c r="D772">
        <v>74.750496975996697</v>
      </c>
    </row>
    <row r="773" spans="1:4" x14ac:dyDescent="0.3">
      <c r="A773">
        <v>1995</v>
      </c>
      <c r="B773" t="s">
        <v>121</v>
      </c>
      <c r="C773">
        <v>50</v>
      </c>
      <c r="D773">
        <v>106.064894357833</v>
      </c>
    </row>
    <row r="774" spans="1:4" x14ac:dyDescent="0.3">
      <c r="A774">
        <v>1995</v>
      </c>
      <c r="B774" t="s">
        <v>121</v>
      </c>
      <c r="C774">
        <v>55</v>
      </c>
      <c r="D774">
        <v>122.227163974265</v>
      </c>
    </row>
    <row r="775" spans="1:4" x14ac:dyDescent="0.3">
      <c r="A775">
        <v>1995</v>
      </c>
      <c r="B775" t="s">
        <v>121</v>
      </c>
      <c r="C775">
        <v>60</v>
      </c>
      <c r="D775">
        <v>159.051958352138</v>
      </c>
    </row>
    <row r="776" spans="1:4" x14ac:dyDescent="0.3">
      <c r="A776">
        <v>1995</v>
      </c>
      <c r="B776" t="s">
        <v>121</v>
      </c>
      <c r="C776">
        <v>65</v>
      </c>
      <c r="D776">
        <v>138.389433590697</v>
      </c>
    </row>
    <row r="777" spans="1:4" x14ac:dyDescent="0.3">
      <c r="A777">
        <v>1995</v>
      </c>
      <c r="B777" t="s">
        <v>121</v>
      </c>
      <c r="C777">
        <v>70</v>
      </c>
      <c r="D777">
        <v>177.78496578074899</v>
      </c>
    </row>
    <row r="778" spans="1:4" x14ac:dyDescent="0.3">
      <c r="A778">
        <v>1995</v>
      </c>
      <c r="B778" t="s">
        <v>121</v>
      </c>
      <c r="C778">
        <v>75</v>
      </c>
      <c r="D778">
        <v>174.754540227668</v>
      </c>
    </row>
    <row r="779" spans="1:4" x14ac:dyDescent="0.3">
      <c r="A779">
        <v>1995</v>
      </c>
      <c r="B779" t="s">
        <v>121</v>
      </c>
      <c r="C779">
        <v>80</v>
      </c>
      <c r="D779">
        <v>218.190639821828</v>
      </c>
    </row>
    <row r="780" spans="1:4" x14ac:dyDescent="0.3">
      <c r="A780">
        <v>1995</v>
      </c>
      <c r="B780" t="s">
        <v>121</v>
      </c>
      <c r="C780">
        <v>85</v>
      </c>
      <c r="D780">
        <v>519.79695294803503</v>
      </c>
    </row>
    <row r="781" spans="1:4" x14ac:dyDescent="0.3">
      <c r="A781">
        <v>1996</v>
      </c>
      <c r="B781" t="s">
        <v>121</v>
      </c>
      <c r="C781">
        <v>0</v>
      </c>
      <c r="D781">
        <v>407.16111511075297</v>
      </c>
    </row>
    <row r="782" spans="1:4" x14ac:dyDescent="0.3">
      <c r="A782">
        <v>1996</v>
      </c>
      <c r="B782" t="s">
        <v>121</v>
      </c>
      <c r="C782">
        <v>1</v>
      </c>
      <c r="D782">
        <v>81.252063236703407</v>
      </c>
    </row>
    <row r="783" spans="1:4" x14ac:dyDescent="0.3">
      <c r="A783">
        <v>1996</v>
      </c>
      <c r="B783" t="s">
        <v>121</v>
      </c>
      <c r="C783">
        <v>5</v>
      </c>
      <c r="D783">
        <v>20.313015809175901</v>
      </c>
    </row>
    <row r="784" spans="1:4" x14ac:dyDescent="0.3">
      <c r="A784">
        <v>1996</v>
      </c>
      <c r="B784" t="s">
        <v>121</v>
      </c>
      <c r="C784">
        <v>10</v>
      </c>
      <c r="D784">
        <v>32.500825294681398</v>
      </c>
    </row>
    <row r="785" spans="1:4" x14ac:dyDescent="0.3">
      <c r="A785">
        <v>1996</v>
      </c>
      <c r="B785" t="s">
        <v>121</v>
      </c>
      <c r="C785">
        <v>15</v>
      </c>
      <c r="D785">
        <v>27.4225713423874</v>
      </c>
    </row>
    <row r="786" spans="1:4" x14ac:dyDescent="0.3">
      <c r="A786">
        <v>1996</v>
      </c>
      <c r="B786" t="s">
        <v>121</v>
      </c>
      <c r="C786">
        <v>20</v>
      </c>
      <c r="D786">
        <v>36.563428456516498</v>
      </c>
    </row>
    <row r="787" spans="1:4" x14ac:dyDescent="0.3">
      <c r="A787">
        <v>1996</v>
      </c>
      <c r="B787" t="s">
        <v>121</v>
      </c>
      <c r="C787">
        <v>25</v>
      </c>
      <c r="D787">
        <v>24.375618971011001</v>
      </c>
    </row>
    <row r="788" spans="1:4" x14ac:dyDescent="0.3">
      <c r="A788">
        <v>1996</v>
      </c>
      <c r="B788" t="s">
        <v>121</v>
      </c>
      <c r="C788">
        <v>30</v>
      </c>
      <c r="D788">
        <v>35.547777666057698</v>
      </c>
    </row>
    <row r="789" spans="1:4" x14ac:dyDescent="0.3">
      <c r="A789">
        <v>1996</v>
      </c>
      <c r="B789" t="s">
        <v>121</v>
      </c>
      <c r="C789">
        <v>35</v>
      </c>
      <c r="D789">
        <v>51.798190313398401</v>
      </c>
    </row>
    <row r="790" spans="1:4" x14ac:dyDescent="0.3">
      <c r="A790">
        <v>1996</v>
      </c>
      <c r="B790" t="s">
        <v>121</v>
      </c>
      <c r="C790">
        <v>40</v>
      </c>
      <c r="D790">
        <v>76.173809284409401</v>
      </c>
    </row>
    <row r="791" spans="1:4" x14ac:dyDescent="0.3">
      <c r="A791">
        <v>1996</v>
      </c>
      <c r="B791" t="s">
        <v>121</v>
      </c>
      <c r="C791">
        <v>45</v>
      </c>
      <c r="D791">
        <v>80.2364124462446</v>
      </c>
    </row>
    <row r="792" spans="1:4" x14ac:dyDescent="0.3">
      <c r="A792">
        <v>1996</v>
      </c>
      <c r="B792" t="s">
        <v>121</v>
      </c>
      <c r="C792">
        <v>50</v>
      </c>
      <c r="D792">
        <v>85.314666398538606</v>
      </c>
    </row>
    <row r="793" spans="1:4" x14ac:dyDescent="0.3">
      <c r="A793">
        <v>1996</v>
      </c>
      <c r="B793" t="s">
        <v>121</v>
      </c>
      <c r="C793">
        <v>55</v>
      </c>
      <c r="D793">
        <v>111.721586950467</v>
      </c>
    </row>
    <row r="794" spans="1:4" x14ac:dyDescent="0.3">
      <c r="A794">
        <v>1996</v>
      </c>
      <c r="B794" t="s">
        <v>121</v>
      </c>
      <c r="C794">
        <v>60</v>
      </c>
      <c r="D794">
        <v>142.19111066423099</v>
      </c>
    </row>
    <row r="795" spans="1:4" x14ac:dyDescent="0.3">
      <c r="A795">
        <v>1996</v>
      </c>
      <c r="B795" t="s">
        <v>121</v>
      </c>
      <c r="C795">
        <v>65</v>
      </c>
      <c r="D795">
        <v>151.33196777836</v>
      </c>
    </row>
    <row r="796" spans="1:4" x14ac:dyDescent="0.3">
      <c r="A796">
        <v>1996</v>
      </c>
      <c r="B796" t="s">
        <v>121</v>
      </c>
      <c r="C796">
        <v>70</v>
      </c>
      <c r="D796">
        <v>179.77018991120599</v>
      </c>
    </row>
    <row r="797" spans="1:4" x14ac:dyDescent="0.3">
      <c r="A797">
        <v>1996</v>
      </c>
      <c r="B797" t="s">
        <v>121</v>
      </c>
      <c r="C797">
        <v>75</v>
      </c>
      <c r="D797">
        <v>185.864094653959</v>
      </c>
    </row>
    <row r="798" spans="1:4" x14ac:dyDescent="0.3">
      <c r="A798">
        <v>1996</v>
      </c>
      <c r="B798" t="s">
        <v>121</v>
      </c>
      <c r="C798">
        <v>80</v>
      </c>
      <c r="D798">
        <v>234.61533259598099</v>
      </c>
    </row>
    <row r="799" spans="1:4" x14ac:dyDescent="0.3">
      <c r="A799">
        <v>1996</v>
      </c>
      <c r="B799" t="s">
        <v>121</v>
      </c>
      <c r="C799">
        <v>85</v>
      </c>
      <c r="D799">
        <v>566.73314107600595</v>
      </c>
    </row>
    <row r="800" spans="1:4" x14ac:dyDescent="0.3">
      <c r="A800">
        <v>1997</v>
      </c>
      <c r="B800" t="s">
        <v>121</v>
      </c>
      <c r="C800">
        <v>0</v>
      </c>
      <c r="D800">
        <v>386.46691844143101</v>
      </c>
    </row>
    <row r="801" spans="1:4" x14ac:dyDescent="0.3">
      <c r="A801">
        <v>1997</v>
      </c>
      <c r="B801" t="s">
        <v>121</v>
      </c>
      <c r="C801">
        <v>1</v>
      </c>
      <c r="D801">
        <v>80.059528951860102</v>
      </c>
    </row>
    <row r="802" spans="1:4" x14ac:dyDescent="0.3">
      <c r="A802">
        <v>1997</v>
      </c>
      <c r="B802" t="s">
        <v>121</v>
      </c>
      <c r="C802">
        <v>5</v>
      </c>
      <c r="D802">
        <v>23.308470454339002</v>
      </c>
    </row>
    <row r="803" spans="1:4" x14ac:dyDescent="0.3">
      <c r="A803">
        <v>1997</v>
      </c>
      <c r="B803" t="s">
        <v>121</v>
      </c>
      <c r="C803">
        <v>10</v>
      </c>
      <c r="D803">
        <v>22.295058695454699</v>
      </c>
    </row>
    <row r="804" spans="1:4" x14ac:dyDescent="0.3">
      <c r="A804">
        <v>1997</v>
      </c>
      <c r="B804" t="s">
        <v>121</v>
      </c>
      <c r="C804">
        <v>15</v>
      </c>
      <c r="D804">
        <v>35.469411560950697</v>
      </c>
    </row>
    <row r="805" spans="1:4" x14ac:dyDescent="0.3">
      <c r="A805">
        <v>1997</v>
      </c>
      <c r="B805" t="s">
        <v>121</v>
      </c>
      <c r="C805">
        <v>20</v>
      </c>
      <c r="D805">
        <v>40.536470355372202</v>
      </c>
    </row>
    <row r="806" spans="1:4" x14ac:dyDescent="0.3">
      <c r="A806">
        <v>1997</v>
      </c>
      <c r="B806" t="s">
        <v>121</v>
      </c>
      <c r="C806">
        <v>25</v>
      </c>
      <c r="D806">
        <v>36.482823319834999</v>
      </c>
    </row>
    <row r="807" spans="1:4" x14ac:dyDescent="0.3">
      <c r="A807">
        <v>1997</v>
      </c>
      <c r="B807" t="s">
        <v>121</v>
      </c>
      <c r="C807">
        <v>30</v>
      </c>
      <c r="D807">
        <v>45.603529149793701</v>
      </c>
    </row>
    <row r="808" spans="1:4" x14ac:dyDescent="0.3">
      <c r="A808">
        <v>1997</v>
      </c>
      <c r="B808" t="s">
        <v>121</v>
      </c>
      <c r="C808">
        <v>35</v>
      </c>
      <c r="D808">
        <v>52.697411461983798</v>
      </c>
    </row>
    <row r="809" spans="1:4" x14ac:dyDescent="0.3">
      <c r="A809">
        <v>1997</v>
      </c>
      <c r="B809" t="s">
        <v>121</v>
      </c>
      <c r="C809">
        <v>40</v>
      </c>
      <c r="D809">
        <v>76.005881916322807</v>
      </c>
    </row>
    <row r="810" spans="1:4" x14ac:dyDescent="0.3">
      <c r="A810">
        <v>1997</v>
      </c>
      <c r="B810" t="s">
        <v>121</v>
      </c>
      <c r="C810">
        <v>45</v>
      </c>
      <c r="D810">
        <v>67.8985878452484</v>
      </c>
    </row>
    <row r="811" spans="1:4" x14ac:dyDescent="0.3">
      <c r="A811">
        <v>1997</v>
      </c>
      <c r="B811" t="s">
        <v>121</v>
      </c>
      <c r="C811">
        <v>50</v>
      </c>
      <c r="D811">
        <v>98.300940611777506</v>
      </c>
    </row>
    <row r="812" spans="1:4" x14ac:dyDescent="0.3">
      <c r="A812">
        <v>1997</v>
      </c>
      <c r="B812" t="s">
        <v>121</v>
      </c>
      <c r="C812">
        <v>55</v>
      </c>
      <c r="D812">
        <v>115.528940512811</v>
      </c>
    </row>
    <row r="813" spans="1:4" x14ac:dyDescent="0.3">
      <c r="A813">
        <v>1997</v>
      </c>
      <c r="B813" t="s">
        <v>121</v>
      </c>
      <c r="C813">
        <v>60</v>
      </c>
      <c r="D813">
        <v>166.19952845702599</v>
      </c>
    </row>
    <row r="814" spans="1:4" x14ac:dyDescent="0.3">
      <c r="A814">
        <v>1997</v>
      </c>
      <c r="B814" t="s">
        <v>121</v>
      </c>
      <c r="C814">
        <v>65</v>
      </c>
      <c r="D814">
        <v>158.092234385952</v>
      </c>
    </row>
    <row r="815" spans="1:4" x14ac:dyDescent="0.3">
      <c r="A815">
        <v>1997</v>
      </c>
      <c r="B815" t="s">
        <v>121</v>
      </c>
      <c r="C815">
        <v>70</v>
      </c>
      <c r="D815">
        <v>204.70917529463</v>
      </c>
    </row>
    <row r="816" spans="1:4" x14ac:dyDescent="0.3">
      <c r="A816">
        <v>1997</v>
      </c>
      <c r="B816" t="s">
        <v>121</v>
      </c>
      <c r="C816">
        <v>75</v>
      </c>
      <c r="D816">
        <v>197.615292982439</v>
      </c>
    </row>
    <row r="817" spans="1:4" x14ac:dyDescent="0.3">
      <c r="A817">
        <v>1997</v>
      </c>
      <c r="B817" t="s">
        <v>121</v>
      </c>
      <c r="C817">
        <v>80</v>
      </c>
      <c r="D817">
        <v>202.682351776861</v>
      </c>
    </row>
    <row r="818" spans="1:4" x14ac:dyDescent="0.3">
      <c r="A818">
        <v>1997</v>
      </c>
      <c r="B818" t="s">
        <v>121</v>
      </c>
      <c r="C818">
        <v>85</v>
      </c>
      <c r="D818">
        <v>506.70587944215202</v>
      </c>
    </row>
    <row r="819" spans="1:4" x14ac:dyDescent="0.3">
      <c r="A819">
        <v>1998</v>
      </c>
      <c r="B819" t="s">
        <v>121</v>
      </c>
      <c r="C819">
        <v>0</v>
      </c>
      <c r="D819">
        <v>350.28475619395101</v>
      </c>
    </row>
    <row r="820" spans="1:4" x14ac:dyDescent="0.3">
      <c r="A820">
        <v>1998</v>
      </c>
      <c r="B820" t="s">
        <v>121</v>
      </c>
      <c r="C820">
        <v>1</v>
      </c>
      <c r="D820">
        <v>62.882521975341902</v>
      </c>
    </row>
    <row r="821" spans="1:4" x14ac:dyDescent="0.3">
      <c r="A821">
        <v>1998</v>
      </c>
      <c r="B821" t="s">
        <v>121</v>
      </c>
      <c r="C821">
        <v>5</v>
      </c>
      <c r="D821">
        <v>22.313152958992301</v>
      </c>
    </row>
    <row r="822" spans="1:4" x14ac:dyDescent="0.3">
      <c r="A822">
        <v>1998</v>
      </c>
      <c r="B822" t="s">
        <v>121</v>
      </c>
      <c r="C822">
        <v>10</v>
      </c>
      <c r="D822">
        <v>28.398558311444699</v>
      </c>
    </row>
    <row r="823" spans="1:4" x14ac:dyDescent="0.3">
      <c r="A823">
        <v>1998</v>
      </c>
      <c r="B823" t="s">
        <v>121</v>
      </c>
      <c r="C823">
        <v>15</v>
      </c>
      <c r="D823">
        <v>40.569369016349597</v>
      </c>
    </row>
    <row r="824" spans="1:4" x14ac:dyDescent="0.3">
      <c r="A824">
        <v>1998</v>
      </c>
      <c r="B824" t="s">
        <v>121</v>
      </c>
      <c r="C824">
        <v>20</v>
      </c>
      <c r="D824">
        <v>47.669008594210801</v>
      </c>
    </row>
    <row r="825" spans="1:4" x14ac:dyDescent="0.3">
      <c r="A825">
        <v>1998</v>
      </c>
      <c r="B825" t="s">
        <v>121</v>
      </c>
      <c r="C825">
        <v>25</v>
      </c>
      <c r="D825">
        <v>51.725945495845799</v>
      </c>
    </row>
    <row r="826" spans="1:4" x14ac:dyDescent="0.3">
      <c r="A826">
        <v>1998</v>
      </c>
      <c r="B826" t="s">
        <v>121</v>
      </c>
      <c r="C826">
        <v>30</v>
      </c>
      <c r="D826">
        <v>45.640540143393302</v>
      </c>
    </row>
    <row r="827" spans="1:4" x14ac:dyDescent="0.3">
      <c r="A827">
        <v>1998</v>
      </c>
      <c r="B827" t="s">
        <v>121</v>
      </c>
      <c r="C827">
        <v>35</v>
      </c>
      <c r="D827">
        <v>62.882521975341902</v>
      </c>
    </row>
    <row r="828" spans="1:4" x14ac:dyDescent="0.3">
      <c r="A828">
        <v>1998</v>
      </c>
      <c r="B828" t="s">
        <v>121</v>
      </c>
      <c r="C828">
        <v>40</v>
      </c>
      <c r="D828">
        <v>59.839819299115703</v>
      </c>
    </row>
    <row r="829" spans="1:4" x14ac:dyDescent="0.3">
      <c r="A829">
        <v>1998</v>
      </c>
      <c r="B829" t="s">
        <v>121</v>
      </c>
      <c r="C829">
        <v>45</v>
      </c>
      <c r="D829">
        <v>91.281080286786604</v>
      </c>
    </row>
    <row r="830" spans="1:4" x14ac:dyDescent="0.3">
      <c r="A830">
        <v>1998</v>
      </c>
      <c r="B830" t="s">
        <v>121</v>
      </c>
      <c r="C830">
        <v>50</v>
      </c>
      <c r="D830">
        <v>76.067566905655497</v>
      </c>
    </row>
    <row r="831" spans="1:4" x14ac:dyDescent="0.3">
      <c r="A831">
        <v>1998</v>
      </c>
      <c r="B831" t="s">
        <v>121</v>
      </c>
      <c r="C831">
        <v>55</v>
      </c>
      <c r="D831">
        <v>122.722341274458</v>
      </c>
    </row>
    <row r="832" spans="1:4" x14ac:dyDescent="0.3">
      <c r="A832">
        <v>1998</v>
      </c>
      <c r="B832" t="s">
        <v>121</v>
      </c>
      <c r="C832">
        <v>60</v>
      </c>
      <c r="D832">
        <v>163.291710290807</v>
      </c>
    </row>
    <row r="833" spans="1:4" x14ac:dyDescent="0.3">
      <c r="A833">
        <v>1998</v>
      </c>
      <c r="B833" t="s">
        <v>121</v>
      </c>
      <c r="C833">
        <v>65</v>
      </c>
      <c r="D833">
        <v>172.41981831948601</v>
      </c>
    </row>
    <row r="834" spans="1:4" x14ac:dyDescent="0.3">
      <c r="A834">
        <v>1998</v>
      </c>
      <c r="B834" t="s">
        <v>121</v>
      </c>
      <c r="C834">
        <v>70</v>
      </c>
      <c r="D834">
        <v>195.74720550388699</v>
      </c>
    </row>
    <row r="835" spans="1:4" x14ac:dyDescent="0.3">
      <c r="A835">
        <v>1998</v>
      </c>
      <c r="B835" t="s">
        <v>121</v>
      </c>
      <c r="C835">
        <v>75</v>
      </c>
      <c r="D835">
        <v>237.33080874564499</v>
      </c>
    </row>
    <row r="836" spans="1:4" x14ac:dyDescent="0.3">
      <c r="A836">
        <v>1998</v>
      </c>
      <c r="B836" t="s">
        <v>121</v>
      </c>
      <c r="C836">
        <v>80</v>
      </c>
      <c r="D836">
        <v>219.07459268828799</v>
      </c>
    </row>
    <row r="837" spans="1:4" x14ac:dyDescent="0.3">
      <c r="A837">
        <v>1998</v>
      </c>
      <c r="B837" t="s">
        <v>121</v>
      </c>
      <c r="C837">
        <v>85</v>
      </c>
      <c r="D837">
        <v>586.22738228625201</v>
      </c>
    </row>
    <row r="838" spans="1:4" x14ac:dyDescent="0.3">
      <c r="A838">
        <v>1999</v>
      </c>
      <c r="B838" t="s">
        <v>121</v>
      </c>
      <c r="C838">
        <v>0</v>
      </c>
      <c r="D838">
        <v>345.08181058790598</v>
      </c>
    </row>
    <row r="839" spans="1:4" x14ac:dyDescent="0.3">
      <c r="A839">
        <v>1999</v>
      </c>
      <c r="B839" t="s">
        <v>121</v>
      </c>
      <c r="C839">
        <v>1</v>
      </c>
      <c r="D839">
        <v>50.705003739932899</v>
      </c>
    </row>
    <row r="840" spans="1:4" x14ac:dyDescent="0.3">
      <c r="A840">
        <v>1999</v>
      </c>
      <c r="B840" t="s">
        <v>121</v>
      </c>
      <c r="C840">
        <v>5</v>
      </c>
      <c r="D840">
        <v>23.324301720369199</v>
      </c>
    </row>
    <row r="841" spans="1:4" x14ac:dyDescent="0.3">
      <c r="A841">
        <v>1999</v>
      </c>
      <c r="B841" t="s">
        <v>121</v>
      </c>
      <c r="C841">
        <v>10</v>
      </c>
      <c r="D841">
        <v>25.352501869966499</v>
      </c>
    </row>
    <row r="842" spans="1:4" x14ac:dyDescent="0.3">
      <c r="A842">
        <v>1999</v>
      </c>
      <c r="B842" t="s">
        <v>121</v>
      </c>
      <c r="C842">
        <v>15</v>
      </c>
      <c r="D842">
        <v>34.4794025431544</v>
      </c>
    </row>
    <row r="843" spans="1:4" x14ac:dyDescent="0.3">
      <c r="A843">
        <v>1999</v>
      </c>
      <c r="B843" t="s">
        <v>121</v>
      </c>
      <c r="C843">
        <v>20</v>
      </c>
      <c r="D843">
        <v>33.465302468355702</v>
      </c>
    </row>
    <row r="844" spans="1:4" x14ac:dyDescent="0.3">
      <c r="A844">
        <v>1999</v>
      </c>
      <c r="B844" t="s">
        <v>121</v>
      </c>
      <c r="C844">
        <v>25</v>
      </c>
      <c r="D844">
        <v>33.465302468355702</v>
      </c>
    </row>
    <row r="845" spans="1:4" x14ac:dyDescent="0.3">
      <c r="A845">
        <v>1999</v>
      </c>
      <c r="B845" t="s">
        <v>121</v>
      </c>
      <c r="C845">
        <v>30</v>
      </c>
      <c r="D845">
        <v>42.592203141543699</v>
      </c>
    </row>
    <row r="846" spans="1:4" x14ac:dyDescent="0.3">
      <c r="A846">
        <v>1999</v>
      </c>
      <c r="B846" t="s">
        <v>121</v>
      </c>
      <c r="C846">
        <v>35</v>
      </c>
      <c r="D846">
        <v>49.6909036651343</v>
      </c>
    </row>
    <row r="847" spans="1:4" x14ac:dyDescent="0.3">
      <c r="A847">
        <v>1999</v>
      </c>
      <c r="B847" t="s">
        <v>121</v>
      </c>
      <c r="C847">
        <v>40</v>
      </c>
      <c r="D847">
        <v>69.972905161107505</v>
      </c>
    </row>
    <row r="848" spans="1:4" x14ac:dyDescent="0.3">
      <c r="A848">
        <v>1999</v>
      </c>
      <c r="B848" t="s">
        <v>121</v>
      </c>
      <c r="C848">
        <v>45</v>
      </c>
      <c r="D848">
        <v>89.240806582282005</v>
      </c>
    </row>
    <row r="849" spans="1:4" x14ac:dyDescent="0.3">
      <c r="A849">
        <v>1999</v>
      </c>
      <c r="B849" t="s">
        <v>121</v>
      </c>
      <c r="C849">
        <v>50</v>
      </c>
      <c r="D849">
        <v>119.663808826242</v>
      </c>
    </row>
    <row r="850" spans="1:4" x14ac:dyDescent="0.3">
      <c r="A850">
        <v>1999</v>
      </c>
      <c r="B850" t="s">
        <v>121</v>
      </c>
      <c r="C850">
        <v>55</v>
      </c>
      <c r="D850">
        <v>129.80480957422799</v>
      </c>
    </row>
    <row r="851" spans="1:4" x14ac:dyDescent="0.3">
      <c r="A851">
        <v>1999</v>
      </c>
      <c r="B851" t="s">
        <v>121</v>
      </c>
      <c r="C851">
        <v>60</v>
      </c>
      <c r="D851">
        <v>156.17141151899301</v>
      </c>
    </row>
    <row r="852" spans="1:4" x14ac:dyDescent="0.3">
      <c r="A852">
        <v>1999</v>
      </c>
      <c r="B852" t="s">
        <v>121</v>
      </c>
      <c r="C852">
        <v>65</v>
      </c>
      <c r="D852">
        <v>201.805914884933</v>
      </c>
    </row>
    <row r="853" spans="1:4" x14ac:dyDescent="0.3">
      <c r="A853">
        <v>1999</v>
      </c>
      <c r="B853" t="s">
        <v>121</v>
      </c>
      <c r="C853">
        <v>70</v>
      </c>
      <c r="D853">
        <v>180.50981331416099</v>
      </c>
    </row>
    <row r="854" spans="1:4" x14ac:dyDescent="0.3">
      <c r="A854">
        <v>1999</v>
      </c>
      <c r="B854" t="s">
        <v>121</v>
      </c>
      <c r="C854">
        <v>75</v>
      </c>
      <c r="D854">
        <v>243.384017951678</v>
      </c>
    </row>
    <row r="855" spans="1:4" x14ac:dyDescent="0.3">
      <c r="A855">
        <v>1999</v>
      </c>
      <c r="B855" t="s">
        <v>121</v>
      </c>
      <c r="C855">
        <v>80</v>
      </c>
      <c r="D855">
        <v>230.75143639790599</v>
      </c>
    </row>
    <row r="856" spans="1:4" x14ac:dyDescent="0.3">
      <c r="A856">
        <v>1999</v>
      </c>
      <c r="B856" t="s">
        <v>121</v>
      </c>
      <c r="C856">
        <v>85</v>
      </c>
      <c r="D856">
        <v>536.45893956849102</v>
      </c>
    </row>
    <row r="857" spans="1:4" x14ac:dyDescent="0.3">
      <c r="A857">
        <v>2000</v>
      </c>
      <c r="B857" t="s">
        <v>121</v>
      </c>
      <c r="C857">
        <v>0</v>
      </c>
      <c r="D857">
        <v>309.967963386728</v>
      </c>
    </row>
    <row r="858" spans="1:4" x14ac:dyDescent="0.3">
      <c r="A858">
        <v>2000</v>
      </c>
      <c r="B858" t="s">
        <v>121</v>
      </c>
      <c r="C858">
        <v>1</v>
      </c>
      <c r="D858">
        <v>46.596491228070199</v>
      </c>
    </row>
    <row r="859" spans="1:4" x14ac:dyDescent="0.3">
      <c r="A859">
        <v>2000</v>
      </c>
      <c r="B859" t="s">
        <v>121</v>
      </c>
      <c r="C859">
        <v>5</v>
      </c>
      <c r="D859">
        <v>26.337147215865802</v>
      </c>
    </row>
    <row r="860" spans="1:4" x14ac:dyDescent="0.3">
      <c r="A860">
        <v>2000</v>
      </c>
      <c r="B860" t="s">
        <v>121</v>
      </c>
      <c r="C860">
        <v>10</v>
      </c>
      <c r="D860">
        <v>22.285278413424901</v>
      </c>
    </row>
    <row r="861" spans="1:4" x14ac:dyDescent="0.3">
      <c r="A861">
        <v>2000</v>
      </c>
      <c r="B861" t="s">
        <v>121</v>
      </c>
      <c r="C861">
        <v>15</v>
      </c>
      <c r="D861">
        <v>40.518688024408803</v>
      </c>
    </row>
    <row r="862" spans="1:4" x14ac:dyDescent="0.3">
      <c r="A862">
        <v>2000</v>
      </c>
      <c r="B862" t="s">
        <v>121</v>
      </c>
      <c r="C862">
        <v>20</v>
      </c>
      <c r="D862">
        <v>27.350114416476</v>
      </c>
    </row>
    <row r="863" spans="1:4" x14ac:dyDescent="0.3">
      <c r="A863">
        <v>2000</v>
      </c>
      <c r="B863" t="s">
        <v>121</v>
      </c>
      <c r="C863">
        <v>25</v>
      </c>
      <c r="D863">
        <v>51.661327231121298</v>
      </c>
    </row>
    <row r="864" spans="1:4" x14ac:dyDescent="0.3">
      <c r="A864">
        <v>2000</v>
      </c>
      <c r="B864" t="s">
        <v>121</v>
      </c>
      <c r="C864">
        <v>30</v>
      </c>
      <c r="D864">
        <v>44.570556826849703</v>
      </c>
    </row>
    <row r="865" spans="1:4" x14ac:dyDescent="0.3">
      <c r="A865">
        <v>2000</v>
      </c>
      <c r="B865" t="s">
        <v>121</v>
      </c>
      <c r="C865">
        <v>35</v>
      </c>
      <c r="D865">
        <v>70.907704042715494</v>
      </c>
    </row>
    <row r="866" spans="1:4" x14ac:dyDescent="0.3">
      <c r="A866">
        <v>2000</v>
      </c>
      <c r="B866" t="s">
        <v>121</v>
      </c>
      <c r="C866">
        <v>40</v>
      </c>
      <c r="D866">
        <v>71.9206712433257</v>
      </c>
    </row>
    <row r="867" spans="1:4" x14ac:dyDescent="0.3">
      <c r="A867">
        <v>2000</v>
      </c>
      <c r="B867" t="s">
        <v>121</v>
      </c>
      <c r="C867">
        <v>45</v>
      </c>
      <c r="D867">
        <v>87.115179252478995</v>
      </c>
    </row>
    <row r="868" spans="1:4" x14ac:dyDescent="0.3">
      <c r="A868">
        <v>2000</v>
      </c>
      <c r="B868" t="s">
        <v>121</v>
      </c>
      <c r="C868">
        <v>50</v>
      </c>
      <c r="D868">
        <v>90.154080854309697</v>
      </c>
    </row>
    <row r="869" spans="1:4" x14ac:dyDescent="0.3">
      <c r="A869">
        <v>2000</v>
      </c>
      <c r="B869" t="s">
        <v>121</v>
      </c>
      <c r="C869">
        <v>55</v>
      </c>
      <c r="D869">
        <v>149.919145690313</v>
      </c>
    </row>
    <row r="870" spans="1:4" x14ac:dyDescent="0.3">
      <c r="A870">
        <v>2000</v>
      </c>
      <c r="B870" t="s">
        <v>121</v>
      </c>
      <c r="C870">
        <v>60</v>
      </c>
      <c r="D870">
        <v>168.15255530129701</v>
      </c>
    </row>
    <row r="871" spans="1:4" x14ac:dyDescent="0.3">
      <c r="A871">
        <v>2000</v>
      </c>
      <c r="B871" t="s">
        <v>121</v>
      </c>
      <c r="C871">
        <v>65</v>
      </c>
      <c r="D871">
        <v>208.671243325706</v>
      </c>
    </row>
    <row r="872" spans="1:4" x14ac:dyDescent="0.3">
      <c r="A872">
        <v>2000</v>
      </c>
      <c r="B872" t="s">
        <v>121</v>
      </c>
      <c r="C872">
        <v>70</v>
      </c>
      <c r="D872">
        <v>243.11212814645299</v>
      </c>
    </row>
    <row r="873" spans="1:4" x14ac:dyDescent="0.3">
      <c r="A873">
        <v>2000</v>
      </c>
      <c r="B873" t="s">
        <v>121</v>
      </c>
      <c r="C873">
        <v>75</v>
      </c>
      <c r="D873">
        <v>238.04729214340199</v>
      </c>
    </row>
    <row r="874" spans="1:4" x14ac:dyDescent="0.3">
      <c r="A874">
        <v>2000</v>
      </c>
      <c r="B874" t="s">
        <v>121</v>
      </c>
      <c r="C874">
        <v>80</v>
      </c>
      <c r="D874">
        <v>238.04729214340199</v>
      </c>
    </row>
    <row r="875" spans="1:4" x14ac:dyDescent="0.3">
      <c r="A875">
        <v>2000</v>
      </c>
      <c r="B875" t="s">
        <v>121</v>
      </c>
      <c r="C875">
        <v>85</v>
      </c>
      <c r="D875">
        <v>520.66514111365404</v>
      </c>
    </row>
    <row r="876" spans="1:4" x14ac:dyDescent="0.3">
      <c r="A876">
        <v>2001</v>
      </c>
      <c r="B876" t="s">
        <v>121</v>
      </c>
      <c r="C876">
        <v>0</v>
      </c>
      <c r="D876">
        <v>299.430613011849</v>
      </c>
    </row>
    <row r="877" spans="1:4" x14ac:dyDescent="0.3">
      <c r="A877">
        <v>2001</v>
      </c>
      <c r="B877" t="s">
        <v>121</v>
      </c>
      <c r="C877">
        <v>1</v>
      </c>
      <c r="D877">
        <v>46.304445446517299</v>
      </c>
    </row>
    <row r="878" spans="1:4" x14ac:dyDescent="0.3">
      <c r="A878">
        <v>2001</v>
      </c>
      <c r="B878" t="s">
        <v>121</v>
      </c>
      <c r="C878">
        <v>5</v>
      </c>
      <c r="D878">
        <v>24.158841102530801</v>
      </c>
    </row>
    <row r="879" spans="1:4" x14ac:dyDescent="0.3">
      <c r="A879">
        <v>2001</v>
      </c>
      <c r="B879" t="s">
        <v>121</v>
      </c>
      <c r="C879">
        <v>10</v>
      </c>
      <c r="D879">
        <v>25.165459481802898</v>
      </c>
    </row>
    <row r="880" spans="1:4" x14ac:dyDescent="0.3">
      <c r="A880">
        <v>2001</v>
      </c>
      <c r="B880" t="s">
        <v>121</v>
      </c>
      <c r="C880">
        <v>15</v>
      </c>
      <c r="D880">
        <v>38.251498412340403</v>
      </c>
    </row>
    <row r="881" spans="1:4" x14ac:dyDescent="0.3">
      <c r="A881">
        <v>2001</v>
      </c>
      <c r="B881" t="s">
        <v>121</v>
      </c>
      <c r="C881">
        <v>20</v>
      </c>
      <c r="D881">
        <v>49.324300584333599</v>
      </c>
    </row>
    <row r="882" spans="1:4" x14ac:dyDescent="0.3">
      <c r="A882">
        <v>2001</v>
      </c>
      <c r="B882" t="s">
        <v>121</v>
      </c>
      <c r="C882">
        <v>25</v>
      </c>
      <c r="D882">
        <v>35.231643274523996</v>
      </c>
    </row>
    <row r="883" spans="1:4" x14ac:dyDescent="0.3">
      <c r="A883">
        <v>2001</v>
      </c>
      <c r="B883" t="s">
        <v>121</v>
      </c>
      <c r="C883">
        <v>30</v>
      </c>
      <c r="D883">
        <v>55.364010859966299</v>
      </c>
    </row>
    <row r="884" spans="1:4" x14ac:dyDescent="0.3">
      <c r="A884">
        <v>2001</v>
      </c>
      <c r="B884" t="s">
        <v>121</v>
      </c>
      <c r="C884">
        <v>35</v>
      </c>
      <c r="D884">
        <v>58.672895037375604</v>
      </c>
    </row>
    <row r="885" spans="1:4" x14ac:dyDescent="0.3">
      <c r="A885">
        <v>2001</v>
      </c>
      <c r="B885" t="s">
        <v>121</v>
      </c>
      <c r="C885">
        <v>40</v>
      </c>
      <c r="D885">
        <v>81.536088721041295</v>
      </c>
    </row>
    <row r="886" spans="1:4" x14ac:dyDescent="0.3">
      <c r="A886">
        <v>2001</v>
      </c>
      <c r="B886" t="s">
        <v>121</v>
      </c>
      <c r="C886">
        <v>45</v>
      </c>
      <c r="D886">
        <v>90.595654134490303</v>
      </c>
    </row>
    <row r="887" spans="1:4" x14ac:dyDescent="0.3">
      <c r="A887">
        <v>2001</v>
      </c>
      <c r="B887" t="s">
        <v>121</v>
      </c>
      <c r="C887">
        <v>50</v>
      </c>
      <c r="D887">
        <v>94.622127651578793</v>
      </c>
    </row>
    <row r="888" spans="1:4" x14ac:dyDescent="0.3">
      <c r="A888">
        <v>2001</v>
      </c>
      <c r="B888" t="s">
        <v>121</v>
      </c>
      <c r="C888">
        <v>55</v>
      </c>
      <c r="D888">
        <v>141.93319147736801</v>
      </c>
    </row>
    <row r="889" spans="1:4" x14ac:dyDescent="0.3">
      <c r="A889">
        <v>2001</v>
      </c>
      <c r="B889" t="s">
        <v>121</v>
      </c>
      <c r="C889">
        <v>60</v>
      </c>
      <c r="D889">
        <v>168.10526933844301</v>
      </c>
    </row>
    <row r="890" spans="1:4" x14ac:dyDescent="0.3">
      <c r="A890">
        <v>2001</v>
      </c>
      <c r="B890" t="s">
        <v>121</v>
      </c>
      <c r="C890">
        <v>65</v>
      </c>
      <c r="D890">
        <v>196.290583958062</v>
      </c>
    </row>
    <row r="891" spans="1:4" x14ac:dyDescent="0.3">
      <c r="A891">
        <v>2001</v>
      </c>
      <c r="B891" t="s">
        <v>121</v>
      </c>
      <c r="C891">
        <v>70</v>
      </c>
      <c r="D891">
        <v>199.75832772306001</v>
      </c>
    </row>
    <row r="892" spans="1:4" x14ac:dyDescent="0.3">
      <c r="A892">
        <v>2001</v>
      </c>
      <c r="B892" t="s">
        <v>121</v>
      </c>
      <c r="C892">
        <v>75</v>
      </c>
      <c r="D892">
        <v>185.631214334699</v>
      </c>
    </row>
    <row r="893" spans="1:4" x14ac:dyDescent="0.3">
      <c r="A893">
        <v>2001</v>
      </c>
      <c r="B893" t="s">
        <v>121</v>
      </c>
      <c r="C893">
        <v>80</v>
      </c>
      <c r="D893">
        <v>215.41633316423301</v>
      </c>
    </row>
    <row r="894" spans="1:4" x14ac:dyDescent="0.3">
      <c r="A894">
        <v>2001</v>
      </c>
      <c r="B894" t="s">
        <v>121</v>
      </c>
      <c r="C894">
        <v>85</v>
      </c>
      <c r="D894">
        <v>579.81218646073796</v>
      </c>
    </row>
    <row r="895" spans="1:4" x14ac:dyDescent="0.3">
      <c r="A895">
        <v>2002</v>
      </c>
      <c r="B895" t="s">
        <v>121</v>
      </c>
      <c r="C895">
        <v>0</v>
      </c>
      <c r="D895">
        <v>290.86859694284198</v>
      </c>
    </row>
    <row r="896" spans="1:4" x14ac:dyDescent="0.3">
      <c r="A896">
        <v>2002</v>
      </c>
      <c r="B896" t="s">
        <v>121</v>
      </c>
      <c r="C896">
        <v>1</v>
      </c>
      <c r="D896">
        <v>44.215297748945503</v>
      </c>
    </row>
    <row r="897" spans="1:4" x14ac:dyDescent="0.3">
      <c r="A897">
        <v>2002</v>
      </c>
      <c r="B897" t="s">
        <v>121</v>
      </c>
      <c r="C897">
        <v>5</v>
      </c>
      <c r="D897">
        <v>26.127221397104201</v>
      </c>
    </row>
    <row r="898" spans="1:4" x14ac:dyDescent="0.3">
      <c r="A898">
        <v>2002</v>
      </c>
      <c r="B898" t="s">
        <v>121</v>
      </c>
      <c r="C898">
        <v>10</v>
      </c>
      <c r="D898">
        <v>26.127221397104201</v>
      </c>
    </row>
    <row r="899" spans="1:4" x14ac:dyDescent="0.3">
      <c r="A899">
        <v>2002</v>
      </c>
      <c r="B899" t="s">
        <v>121</v>
      </c>
      <c r="C899">
        <v>15</v>
      </c>
      <c r="D899">
        <v>34.166366442367</v>
      </c>
    </row>
    <row r="900" spans="1:4" x14ac:dyDescent="0.3">
      <c r="A900">
        <v>2002</v>
      </c>
      <c r="B900" t="s">
        <v>121</v>
      </c>
      <c r="C900">
        <v>20</v>
      </c>
      <c r="D900">
        <v>30.1467939197356</v>
      </c>
    </row>
    <row r="901" spans="1:4" x14ac:dyDescent="0.3">
      <c r="A901">
        <v>2002</v>
      </c>
      <c r="B901" t="s">
        <v>121</v>
      </c>
      <c r="C901">
        <v>25</v>
      </c>
      <c r="D901">
        <v>48.234870271576902</v>
      </c>
    </row>
    <row r="902" spans="1:4" x14ac:dyDescent="0.3">
      <c r="A902">
        <v>2002</v>
      </c>
      <c r="B902" t="s">
        <v>121</v>
      </c>
      <c r="C902">
        <v>30</v>
      </c>
      <c r="D902">
        <v>46.225084010261199</v>
      </c>
    </row>
    <row r="903" spans="1:4" x14ac:dyDescent="0.3">
      <c r="A903">
        <v>2002</v>
      </c>
      <c r="B903" t="s">
        <v>121</v>
      </c>
      <c r="C903">
        <v>35</v>
      </c>
      <c r="D903">
        <v>74.719601724780503</v>
      </c>
    </row>
    <row r="904" spans="1:4" x14ac:dyDescent="0.3">
      <c r="A904">
        <v>2002</v>
      </c>
      <c r="B904" t="s">
        <v>121</v>
      </c>
      <c r="C904">
        <v>40</v>
      </c>
      <c r="D904">
        <v>52.254442794208302</v>
      </c>
    </row>
    <row r="905" spans="1:4" x14ac:dyDescent="0.3">
      <c r="A905">
        <v>2002</v>
      </c>
      <c r="B905" t="s">
        <v>121</v>
      </c>
      <c r="C905">
        <v>45</v>
      </c>
      <c r="D905">
        <v>96.469740543153804</v>
      </c>
    </row>
    <row r="906" spans="1:4" x14ac:dyDescent="0.3">
      <c r="A906">
        <v>2002</v>
      </c>
      <c r="B906" t="s">
        <v>121</v>
      </c>
      <c r="C906">
        <v>50</v>
      </c>
      <c r="D906">
        <v>114.557816894995</v>
      </c>
    </row>
    <row r="907" spans="1:4" x14ac:dyDescent="0.3">
      <c r="A907">
        <v>2002</v>
      </c>
      <c r="B907" t="s">
        <v>121</v>
      </c>
      <c r="C907">
        <v>55</v>
      </c>
      <c r="D907">
        <v>158.773114643941</v>
      </c>
    </row>
    <row r="908" spans="1:4" x14ac:dyDescent="0.3">
      <c r="A908">
        <v>2002</v>
      </c>
      <c r="B908" t="s">
        <v>121</v>
      </c>
      <c r="C908">
        <v>60</v>
      </c>
      <c r="D908">
        <v>158.773114643941</v>
      </c>
    </row>
    <row r="909" spans="1:4" x14ac:dyDescent="0.3">
      <c r="A909">
        <v>2002</v>
      </c>
      <c r="B909" t="s">
        <v>121</v>
      </c>
      <c r="C909">
        <v>65</v>
      </c>
      <c r="D909">
        <v>170.83183221183501</v>
      </c>
    </row>
    <row r="910" spans="1:4" x14ac:dyDescent="0.3">
      <c r="A910">
        <v>2002</v>
      </c>
      <c r="B910" t="s">
        <v>121</v>
      </c>
      <c r="C910">
        <v>70</v>
      </c>
      <c r="D910">
        <v>226.56714193285799</v>
      </c>
    </row>
    <row r="911" spans="1:4" x14ac:dyDescent="0.3">
      <c r="A911">
        <v>2002</v>
      </c>
      <c r="B911" t="s">
        <v>121</v>
      </c>
      <c r="C911">
        <v>75</v>
      </c>
      <c r="D911">
        <v>247.203710141832</v>
      </c>
    </row>
    <row r="912" spans="1:4" x14ac:dyDescent="0.3">
      <c r="A912">
        <v>2002</v>
      </c>
      <c r="B912" t="s">
        <v>121</v>
      </c>
      <c r="C912">
        <v>80</v>
      </c>
      <c r="D912">
        <v>261.78856221999598</v>
      </c>
    </row>
    <row r="913" spans="1:4" x14ac:dyDescent="0.3">
      <c r="A913">
        <v>2002</v>
      </c>
      <c r="B913" t="s">
        <v>121</v>
      </c>
      <c r="C913">
        <v>85</v>
      </c>
      <c r="D913">
        <v>561.73526003773895</v>
      </c>
    </row>
    <row r="914" spans="1:4" x14ac:dyDescent="0.3">
      <c r="A914">
        <v>2003</v>
      </c>
      <c r="B914" t="s">
        <v>121</v>
      </c>
      <c r="C914">
        <v>0</v>
      </c>
      <c r="D914">
        <v>253.51045859347801</v>
      </c>
    </row>
    <row r="915" spans="1:4" x14ac:dyDescent="0.3">
      <c r="A915">
        <v>2003</v>
      </c>
      <c r="B915" t="s">
        <v>121</v>
      </c>
      <c r="C915">
        <v>1</v>
      </c>
      <c r="D915">
        <v>49.293700282065103</v>
      </c>
    </row>
    <row r="916" spans="1:4" x14ac:dyDescent="0.3">
      <c r="A916">
        <v>2003</v>
      </c>
      <c r="B916" t="s">
        <v>121</v>
      </c>
      <c r="C916">
        <v>5</v>
      </c>
      <c r="D916">
        <v>18.107889899534101</v>
      </c>
    </row>
    <row r="917" spans="1:4" x14ac:dyDescent="0.3">
      <c r="A917">
        <v>2003</v>
      </c>
      <c r="B917" t="s">
        <v>121</v>
      </c>
      <c r="C917">
        <v>10</v>
      </c>
      <c r="D917">
        <v>29.173822615916102</v>
      </c>
    </row>
    <row r="918" spans="1:4" x14ac:dyDescent="0.3">
      <c r="A918">
        <v>2003</v>
      </c>
      <c r="B918" t="s">
        <v>121</v>
      </c>
      <c r="C918">
        <v>15</v>
      </c>
      <c r="D918">
        <v>35.209785915760797</v>
      </c>
    </row>
    <row r="919" spans="1:4" x14ac:dyDescent="0.3">
      <c r="A919">
        <v>2003</v>
      </c>
      <c r="B919" t="s">
        <v>121</v>
      </c>
      <c r="C919">
        <v>20</v>
      </c>
      <c r="D919">
        <v>47.281712515450202</v>
      </c>
    </row>
    <row r="920" spans="1:4" x14ac:dyDescent="0.3">
      <c r="A920">
        <v>2003</v>
      </c>
      <c r="B920" t="s">
        <v>121</v>
      </c>
      <c r="C920">
        <v>25</v>
      </c>
      <c r="D920">
        <v>40.465821373490698</v>
      </c>
    </row>
    <row r="921" spans="1:4" x14ac:dyDescent="0.3">
      <c r="A921">
        <v>2003</v>
      </c>
      <c r="B921" t="s">
        <v>121</v>
      </c>
      <c r="C921">
        <v>30</v>
      </c>
      <c r="D921">
        <v>52.311681931987501</v>
      </c>
    </row>
    <row r="922" spans="1:4" x14ac:dyDescent="0.3">
      <c r="A922">
        <v>2003</v>
      </c>
      <c r="B922" t="s">
        <v>121</v>
      </c>
      <c r="C922">
        <v>35</v>
      </c>
      <c r="D922">
        <v>52.311681931987501</v>
      </c>
    </row>
    <row r="923" spans="1:4" x14ac:dyDescent="0.3">
      <c r="A923">
        <v>2003</v>
      </c>
      <c r="B923" t="s">
        <v>121</v>
      </c>
      <c r="C923">
        <v>40</v>
      </c>
      <c r="D923">
        <v>78.467522897981198</v>
      </c>
    </row>
    <row r="924" spans="1:4" x14ac:dyDescent="0.3">
      <c r="A924">
        <v>2003</v>
      </c>
      <c r="B924" t="s">
        <v>121</v>
      </c>
      <c r="C924">
        <v>45</v>
      </c>
      <c r="D924">
        <v>112.671314930435</v>
      </c>
    </row>
    <row r="925" spans="1:4" x14ac:dyDescent="0.3">
      <c r="A925">
        <v>2003</v>
      </c>
      <c r="B925" t="s">
        <v>121</v>
      </c>
      <c r="C925">
        <v>50</v>
      </c>
      <c r="D925">
        <v>137.82116201312101</v>
      </c>
    </row>
    <row r="926" spans="1:4" x14ac:dyDescent="0.3">
      <c r="A926">
        <v>2003</v>
      </c>
      <c r="B926" t="s">
        <v>121</v>
      </c>
      <c r="C926">
        <v>55</v>
      </c>
      <c r="D926">
        <v>150.89908249611801</v>
      </c>
    </row>
    <row r="927" spans="1:4" x14ac:dyDescent="0.3">
      <c r="A927">
        <v>2003</v>
      </c>
      <c r="B927" t="s">
        <v>121</v>
      </c>
      <c r="C927">
        <v>60</v>
      </c>
      <c r="D927">
        <v>176.04892957880401</v>
      </c>
    </row>
    <row r="928" spans="1:4" x14ac:dyDescent="0.3">
      <c r="A928">
        <v>2003</v>
      </c>
      <c r="B928" t="s">
        <v>121</v>
      </c>
      <c r="C928">
        <v>65</v>
      </c>
      <c r="D928">
        <v>223.33064209425399</v>
      </c>
    </row>
    <row r="929" spans="1:4" x14ac:dyDescent="0.3">
      <c r="A929">
        <v>2003</v>
      </c>
      <c r="B929" t="s">
        <v>121</v>
      </c>
      <c r="C929">
        <v>70</v>
      </c>
      <c r="D929">
        <v>257.53443412670703</v>
      </c>
    </row>
    <row r="930" spans="1:4" x14ac:dyDescent="0.3">
      <c r="A930">
        <v>2003</v>
      </c>
      <c r="B930" t="s">
        <v>121</v>
      </c>
      <c r="C930">
        <v>75</v>
      </c>
      <c r="D930">
        <v>268.60036684308898</v>
      </c>
    </row>
    <row r="931" spans="1:4" x14ac:dyDescent="0.3">
      <c r="A931">
        <v>2003</v>
      </c>
      <c r="B931" t="s">
        <v>121</v>
      </c>
      <c r="C931">
        <v>80</v>
      </c>
      <c r="D931">
        <v>254.51645247678499</v>
      </c>
    </row>
    <row r="932" spans="1:4" x14ac:dyDescent="0.3">
      <c r="A932">
        <v>2003</v>
      </c>
      <c r="B932" t="s">
        <v>121</v>
      </c>
      <c r="C932">
        <v>85</v>
      </c>
      <c r="D932">
        <v>615.66825658415996</v>
      </c>
    </row>
    <row r="933" spans="1:4" x14ac:dyDescent="0.3">
      <c r="A933">
        <v>2004</v>
      </c>
      <c r="B933" t="s">
        <v>121</v>
      </c>
      <c r="C933">
        <v>0</v>
      </c>
      <c r="D933">
        <v>230.32901132664799</v>
      </c>
    </row>
    <row r="934" spans="1:4" x14ac:dyDescent="0.3">
      <c r="A934">
        <v>2004</v>
      </c>
      <c r="B934" t="s">
        <v>121</v>
      </c>
      <c r="C934">
        <v>1</v>
      </c>
      <c r="D934">
        <v>39.226338173534003</v>
      </c>
    </row>
    <row r="935" spans="1:4" x14ac:dyDescent="0.3">
      <c r="A935">
        <v>2004</v>
      </c>
      <c r="B935" t="s">
        <v>121</v>
      </c>
      <c r="C935">
        <v>5</v>
      </c>
      <c r="D935">
        <v>18.104463772400301</v>
      </c>
    </row>
    <row r="936" spans="1:4" x14ac:dyDescent="0.3">
      <c r="A936">
        <v>2004</v>
      </c>
      <c r="B936" t="s">
        <v>121</v>
      </c>
      <c r="C936">
        <v>10</v>
      </c>
      <c r="D936">
        <v>18.104463772400301</v>
      </c>
    </row>
    <row r="937" spans="1:4" x14ac:dyDescent="0.3">
      <c r="A937">
        <v>2004</v>
      </c>
      <c r="B937" t="s">
        <v>121</v>
      </c>
      <c r="C937">
        <v>15</v>
      </c>
      <c r="D937">
        <v>46.266962973911802</v>
      </c>
    </row>
    <row r="938" spans="1:4" x14ac:dyDescent="0.3">
      <c r="A938">
        <v>2004</v>
      </c>
      <c r="B938" t="s">
        <v>121</v>
      </c>
      <c r="C938">
        <v>20</v>
      </c>
      <c r="D938">
        <v>39.226338173534003</v>
      </c>
    </row>
    <row r="939" spans="1:4" x14ac:dyDescent="0.3">
      <c r="A939">
        <v>2004</v>
      </c>
      <c r="B939" t="s">
        <v>121</v>
      </c>
      <c r="C939">
        <v>25</v>
      </c>
      <c r="D939">
        <v>43.2495523451785</v>
      </c>
    </row>
    <row r="940" spans="1:4" x14ac:dyDescent="0.3">
      <c r="A940">
        <v>2004</v>
      </c>
      <c r="B940" t="s">
        <v>121</v>
      </c>
      <c r="C940">
        <v>30</v>
      </c>
      <c r="D940">
        <v>60.348212574667599</v>
      </c>
    </row>
    <row r="941" spans="1:4" x14ac:dyDescent="0.3">
      <c r="A941">
        <v>2004</v>
      </c>
      <c r="B941" t="s">
        <v>121</v>
      </c>
      <c r="C941">
        <v>35</v>
      </c>
      <c r="D941">
        <v>62.359819660489897</v>
      </c>
    </row>
    <row r="942" spans="1:4" x14ac:dyDescent="0.3">
      <c r="A942">
        <v>2004</v>
      </c>
      <c r="B942" t="s">
        <v>121</v>
      </c>
      <c r="C942">
        <v>40</v>
      </c>
      <c r="D942">
        <v>76.441069261245701</v>
      </c>
    </row>
    <row r="943" spans="1:4" x14ac:dyDescent="0.3">
      <c r="A943">
        <v>2004</v>
      </c>
      <c r="B943" t="s">
        <v>121</v>
      </c>
      <c r="C943">
        <v>45</v>
      </c>
      <c r="D943">
        <v>105.60937200566801</v>
      </c>
    </row>
    <row r="944" spans="1:4" x14ac:dyDescent="0.3">
      <c r="A944">
        <v>2004</v>
      </c>
      <c r="B944" t="s">
        <v>121</v>
      </c>
      <c r="C944">
        <v>50</v>
      </c>
      <c r="D944">
        <v>127.737049949713</v>
      </c>
    </row>
    <row r="945" spans="1:4" x14ac:dyDescent="0.3">
      <c r="A945">
        <v>2004</v>
      </c>
      <c r="B945" t="s">
        <v>121</v>
      </c>
      <c r="C945">
        <v>55</v>
      </c>
      <c r="D945">
        <v>142.82410309337999</v>
      </c>
    </row>
    <row r="946" spans="1:4" x14ac:dyDescent="0.3">
      <c r="A946">
        <v>2004</v>
      </c>
      <c r="B946" t="s">
        <v>121</v>
      </c>
      <c r="C946">
        <v>60</v>
      </c>
      <c r="D946">
        <v>148.85892435084699</v>
      </c>
    </row>
    <row r="947" spans="1:4" x14ac:dyDescent="0.3">
      <c r="A947">
        <v>2004</v>
      </c>
      <c r="B947" t="s">
        <v>121</v>
      </c>
      <c r="C947">
        <v>65</v>
      </c>
      <c r="D947">
        <v>210.21294046842601</v>
      </c>
    </row>
    <row r="948" spans="1:4" x14ac:dyDescent="0.3">
      <c r="A948">
        <v>2004</v>
      </c>
      <c r="B948" t="s">
        <v>121</v>
      </c>
      <c r="C948">
        <v>70</v>
      </c>
      <c r="D948">
        <v>254.468296356515</v>
      </c>
    </row>
    <row r="949" spans="1:4" x14ac:dyDescent="0.3">
      <c r="A949">
        <v>2004</v>
      </c>
      <c r="B949" t="s">
        <v>121</v>
      </c>
      <c r="C949">
        <v>75</v>
      </c>
      <c r="D949">
        <v>298.72365224460498</v>
      </c>
    </row>
    <row r="950" spans="1:4" x14ac:dyDescent="0.3">
      <c r="A950">
        <v>2004</v>
      </c>
      <c r="B950" t="s">
        <v>121</v>
      </c>
      <c r="C950">
        <v>80</v>
      </c>
      <c r="D950">
        <v>307.77588413080503</v>
      </c>
    </row>
    <row r="951" spans="1:4" x14ac:dyDescent="0.3">
      <c r="A951">
        <v>2004</v>
      </c>
      <c r="B951" t="s">
        <v>121</v>
      </c>
      <c r="C951">
        <v>85</v>
      </c>
      <c r="D951">
        <v>606.09145616204705</v>
      </c>
    </row>
    <row r="952" spans="1:4" x14ac:dyDescent="0.3">
      <c r="A952">
        <v>2005</v>
      </c>
      <c r="B952" t="s">
        <v>121</v>
      </c>
      <c r="C952">
        <v>0</v>
      </c>
      <c r="D952">
        <v>247.237756130333</v>
      </c>
    </row>
    <row r="953" spans="1:4" x14ac:dyDescent="0.3">
      <c r="A953">
        <v>2005</v>
      </c>
      <c r="B953" t="s">
        <v>121</v>
      </c>
      <c r="C953">
        <v>1</v>
      </c>
      <c r="D953">
        <v>37.1861665724484</v>
      </c>
    </row>
    <row r="954" spans="1:4" x14ac:dyDescent="0.3">
      <c r="A954">
        <v>2005</v>
      </c>
      <c r="B954" t="s">
        <v>121</v>
      </c>
      <c r="C954">
        <v>5</v>
      </c>
      <c r="D954">
        <v>29.1459143405677</v>
      </c>
    </row>
    <row r="955" spans="1:4" x14ac:dyDescent="0.3">
      <c r="A955">
        <v>2005</v>
      </c>
      <c r="B955" t="s">
        <v>121</v>
      </c>
      <c r="C955">
        <v>10</v>
      </c>
      <c r="D955">
        <v>25.1257882246273</v>
      </c>
    </row>
    <row r="956" spans="1:4" x14ac:dyDescent="0.3">
      <c r="A956">
        <v>2005</v>
      </c>
      <c r="B956" t="s">
        <v>121</v>
      </c>
      <c r="C956">
        <v>15</v>
      </c>
      <c r="D956">
        <v>31.1559773985378</v>
      </c>
    </row>
    <row r="957" spans="1:4" x14ac:dyDescent="0.3">
      <c r="A957">
        <v>2005</v>
      </c>
      <c r="B957" t="s">
        <v>121</v>
      </c>
      <c r="C957">
        <v>20</v>
      </c>
      <c r="D957">
        <v>35.1761035144782</v>
      </c>
    </row>
    <row r="958" spans="1:4" x14ac:dyDescent="0.3">
      <c r="A958">
        <v>2005</v>
      </c>
      <c r="B958" t="s">
        <v>121</v>
      </c>
      <c r="C958">
        <v>25</v>
      </c>
      <c r="D958">
        <v>46.2314503333142</v>
      </c>
    </row>
    <row r="959" spans="1:4" x14ac:dyDescent="0.3">
      <c r="A959">
        <v>2005</v>
      </c>
      <c r="B959" t="s">
        <v>121</v>
      </c>
      <c r="C959">
        <v>30</v>
      </c>
      <c r="D959">
        <v>60.3018917391055</v>
      </c>
    </row>
    <row r="960" spans="1:4" x14ac:dyDescent="0.3">
      <c r="A960">
        <v>2005</v>
      </c>
      <c r="B960" t="s">
        <v>121</v>
      </c>
      <c r="C960">
        <v>35</v>
      </c>
      <c r="D960">
        <v>45.2264188043291</v>
      </c>
    </row>
    <row r="961" spans="1:4" x14ac:dyDescent="0.3">
      <c r="A961">
        <v>2005</v>
      </c>
      <c r="B961" t="s">
        <v>121</v>
      </c>
      <c r="C961">
        <v>40</v>
      </c>
      <c r="D961">
        <v>77.3874277318521</v>
      </c>
    </row>
    <row r="962" spans="1:4" x14ac:dyDescent="0.3">
      <c r="A962">
        <v>2005</v>
      </c>
      <c r="B962" t="s">
        <v>121</v>
      </c>
      <c r="C962">
        <v>45</v>
      </c>
      <c r="D962">
        <v>104.52327901445</v>
      </c>
    </row>
    <row r="963" spans="1:4" x14ac:dyDescent="0.3">
      <c r="A963">
        <v>2005</v>
      </c>
      <c r="B963" t="s">
        <v>121</v>
      </c>
      <c r="C963">
        <v>50</v>
      </c>
      <c r="D963">
        <v>121.608815007196</v>
      </c>
    </row>
    <row r="964" spans="1:4" x14ac:dyDescent="0.3">
      <c r="A964">
        <v>2005</v>
      </c>
      <c r="B964" t="s">
        <v>121</v>
      </c>
      <c r="C964">
        <v>55</v>
      </c>
      <c r="D964">
        <v>153.769823934719</v>
      </c>
    </row>
    <row r="965" spans="1:4" x14ac:dyDescent="0.3">
      <c r="A965">
        <v>2005</v>
      </c>
      <c r="B965" t="s">
        <v>121</v>
      </c>
      <c r="C965">
        <v>60</v>
      </c>
      <c r="D965">
        <v>210.051589557884</v>
      </c>
    </row>
    <row r="966" spans="1:4" x14ac:dyDescent="0.3">
      <c r="A966">
        <v>2005</v>
      </c>
      <c r="B966" t="s">
        <v>121</v>
      </c>
      <c r="C966">
        <v>65</v>
      </c>
      <c r="D966">
        <v>254.764800772944</v>
      </c>
    </row>
    <row r="967" spans="1:4" x14ac:dyDescent="0.3">
      <c r="A967">
        <v>2005</v>
      </c>
      <c r="B967" t="s">
        <v>121</v>
      </c>
      <c r="C967">
        <v>70</v>
      </c>
      <c r="D967">
        <v>260.303166007139</v>
      </c>
    </row>
    <row r="968" spans="1:4" x14ac:dyDescent="0.3">
      <c r="A968">
        <v>2005</v>
      </c>
      <c r="B968" t="s">
        <v>121</v>
      </c>
      <c r="C968">
        <v>75</v>
      </c>
      <c r="D968">
        <v>278.39373352886997</v>
      </c>
    </row>
    <row r="969" spans="1:4" x14ac:dyDescent="0.3">
      <c r="A969">
        <v>2005</v>
      </c>
      <c r="B969" t="s">
        <v>121</v>
      </c>
      <c r="C969">
        <v>80</v>
      </c>
      <c r="D969">
        <v>344.72581444188597</v>
      </c>
    </row>
    <row r="970" spans="1:4" x14ac:dyDescent="0.3">
      <c r="A970">
        <v>2005</v>
      </c>
      <c r="B970" t="s">
        <v>121</v>
      </c>
      <c r="C970">
        <v>85</v>
      </c>
      <c r="D970">
        <v>649.25036772436897</v>
      </c>
    </row>
    <row r="971" spans="1:4" x14ac:dyDescent="0.3">
      <c r="A971">
        <v>2006</v>
      </c>
      <c r="B971" t="s">
        <v>121</v>
      </c>
      <c r="C971">
        <v>0</v>
      </c>
      <c r="D971">
        <v>202.34133153092299</v>
      </c>
    </row>
    <row r="972" spans="1:4" x14ac:dyDescent="0.3">
      <c r="A972">
        <v>2006</v>
      </c>
      <c r="B972" t="s">
        <v>121</v>
      </c>
      <c r="C972">
        <v>1</v>
      </c>
      <c r="D972">
        <v>53.089557282865798</v>
      </c>
    </row>
    <row r="973" spans="1:4" x14ac:dyDescent="0.3">
      <c r="A973">
        <v>2006</v>
      </c>
      <c r="B973" t="s">
        <v>121</v>
      </c>
      <c r="C973">
        <v>5</v>
      </c>
      <c r="D973">
        <v>17.0287259209192</v>
      </c>
    </row>
    <row r="974" spans="1:4" x14ac:dyDescent="0.3">
      <c r="A974">
        <v>2006</v>
      </c>
      <c r="B974" t="s">
        <v>121</v>
      </c>
      <c r="C974">
        <v>10</v>
      </c>
      <c r="D974">
        <v>24.040554241297698</v>
      </c>
    </row>
    <row r="975" spans="1:4" x14ac:dyDescent="0.3">
      <c r="A975">
        <v>2006</v>
      </c>
      <c r="B975" t="s">
        <v>121</v>
      </c>
      <c r="C975">
        <v>15</v>
      </c>
      <c r="D975">
        <v>35.059141601892499</v>
      </c>
    </row>
    <row r="976" spans="1:4" x14ac:dyDescent="0.3">
      <c r="A976">
        <v>2006</v>
      </c>
      <c r="B976" t="s">
        <v>121</v>
      </c>
      <c r="C976">
        <v>20</v>
      </c>
      <c r="D976">
        <v>41.069280162216998</v>
      </c>
    </row>
    <row r="977" spans="1:4" x14ac:dyDescent="0.3">
      <c r="A977">
        <v>2006</v>
      </c>
      <c r="B977" t="s">
        <v>121</v>
      </c>
      <c r="C977">
        <v>25</v>
      </c>
      <c r="D977">
        <v>35.059141601892499</v>
      </c>
    </row>
    <row r="978" spans="1:4" x14ac:dyDescent="0.3">
      <c r="A978">
        <v>2006</v>
      </c>
      <c r="B978" t="s">
        <v>121</v>
      </c>
      <c r="C978">
        <v>30</v>
      </c>
      <c r="D978">
        <v>41.069280162216998</v>
      </c>
    </row>
    <row r="979" spans="1:4" x14ac:dyDescent="0.3">
      <c r="A979">
        <v>2006</v>
      </c>
      <c r="B979" t="s">
        <v>121</v>
      </c>
      <c r="C979">
        <v>35</v>
      </c>
      <c r="D979">
        <v>77.130111524163596</v>
      </c>
    </row>
    <row r="980" spans="1:4" x14ac:dyDescent="0.3">
      <c r="A980">
        <v>2006</v>
      </c>
      <c r="B980" t="s">
        <v>121</v>
      </c>
      <c r="C980">
        <v>40</v>
      </c>
      <c r="D980">
        <v>92.155457924974698</v>
      </c>
    </row>
    <row r="981" spans="1:4" x14ac:dyDescent="0.3">
      <c r="A981">
        <v>2006</v>
      </c>
      <c r="B981" t="s">
        <v>121</v>
      </c>
      <c r="C981">
        <v>45</v>
      </c>
      <c r="D981">
        <v>130.219668807029</v>
      </c>
    </row>
    <row r="982" spans="1:4" x14ac:dyDescent="0.3">
      <c r="A982">
        <v>2006</v>
      </c>
      <c r="B982" t="s">
        <v>121</v>
      </c>
      <c r="C982">
        <v>50</v>
      </c>
      <c r="D982">
        <v>150.253464008111</v>
      </c>
    </row>
    <row r="983" spans="1:4" x14ac:dyDescent="0.3">
      <c r="A983">
        <v>2006</v>
      </c>
      <c r="B983" t="s">
        <v>121</v>
      </c>
      <c r="C983">
        <v>55</v>
      </c>
      <c r="D983">
        <v>167.28218992903001</v>
      </c>
    </row>
    <row r="984" spans="1:4" x14ac:dyDescent="0.3">
      <c r="A984">
        <v>2006</v>
      </c>
      <c r="B984" t="s">
        <v>121</v>
      </c>
      <c r="C984">
        <v>60</v>
      </c>
      <c r="D984">
        <v>202.34133153092299</v>
      </c>
    </row>
    <row r="985" spans="1:4" x14ac:dyDescent="0.3">
      <c r="A985">
        <v>2006</v>
      </c>
      <c r="B985" t="s">
        <v>121</v>
      </c>
      <c r="C985">
        <v>65</v>
      </c>
      <c r="D985">
        <v>217.36667793173399</v>
      </c>
    </row>
    <row r="986" spans="1:4" x14ac:dyDescent="0.3">
      <c r="A986">
        <v>2006</v>
      </c>
      <c r="B986" t="s">
        <v>121</v>
      </c>
      <c r="C986">
        <v>70</v>
      </c>
      <c r="D986">
        <v>254.42919905373401</v>
      </c>
    </row>
    <row r="987" spans="1:4" x14ac:dyDescent="0.3">
      <c r="A987">
        <v>2006</v>
      </c>
      <c r="B987" t="s">
        <v>121</v>
      </c>
      <c r="C987">
        <v>75</v>
      </c>
      <c r="D987">
        <v>297.50185873605898</v>
      </c>
    </row>
    <row r="988" spans="1:4" x14ac:dyDescent="0.3">
      <c r="A988">
        <v>2006</v>
      </c>
      <c r="B988" t="s">
        <v>121</v>
      </c>
      <c r="C988">
        <v>80</v>
      </c>
      <c r="D988">
        <v>288.48665089557301</v>
      </c>
    </row>
    <row r="989" spans="1:4" x14ac:dyDescent="0.3">
      <c r="A989">
        <v>2006</v>
      </c>
      <c r="B989" t="s">
        <v>121</v>
      </c>
      <c r="C989">
        <v>85</v>
      </c>
      <c r="D989">
        <v>638.076377154444</v>
      </c>
    </row>
    <row r="990" spans="1:4" x14ac:dyDescent="0.3">
      <c r="A990">
        <v>2007</v>
      </c>
      <c r="B990" t="s">
        <v>121</v>
      </c>
      <c r="C990">
        <v>0</v>
      </c>
      <c r="D990">
        <v>245.940964177013</v>
      </c>
    </row>
    <row r="991" spans="1:4" x14ac:dyDescent="0.3">
      <c r="A991">
        <v>2007</v>
      </c>
      <c r="B991" t="s">
        <v>121</v>
      </c>
      <c r="C991">
        <v>1</v>
      </c>
      <c r="D991">
        <v>35.069479972428603</v>
      </c>
    </row>
    <row r="992" spans="1:4" x14ac:dyDescent="0.3">
      <c r="A992">
        <v>2007</v>
      </c>
      <c r="B992" t="s">
        <v>121</v>
      </c>
      <c r="C992">
        <v>5</v>
      </c>
      <c r="D992">
        <v>13.025806846902</v>
      </c>
    </row>
    <row r="993" spans="1:4" x14ac:dyDescent="0.3">
      <c r="A993">
        <v>2007</v>
      </c>
      <c r="B993" t="s">
        <v>121</v>
      </c>
      <c r="C993">
        <v>10</v>
      </c>
      <c r="D993">
        <v>24.047643409665302</v>
      </c>
    </row>
    <row r="994" spans="1:4" x14ac:dyDescent="0.3">
      <c r="A994">
        <v>2007</v>
      </c>
      <c r="B994" t="s">
        <v>121</v>
      </c>
      <c r="C994">
        <v>15</v>
      </c>
      <c r="D994">
        <v>37.073450256567398</v>
      </c>
    </row>
    <row r="995" spans="1:4" x14ac:dyDescent="0.3">
      <c r="A995">
        <v>2007</v>
      </c>
      <c r="B995" t="s">
        <v>121</v>
      </c>
      <c r="C995">
        <v>20</v>
      </c>
      <c r="D995">
        <v>42.083375966914303</v>
      </c>
    </row>
    <row r="996" spans="1:4" x14ac:dyDescent="0.3">
      <c r="A996">
        <v>2007</v>
      </c>
      <c r="B996" t="s">
        <v>121</v>
      </c>
      <c r="C996">
        <v>25</v>
      </c>
      <c r="D996">
        <v>38.075435398636699</v>
      </c>
    </row>
    <row r="997" spans="1:4" x14ac:dyDescent="0.3">
      <c r="A997">
        <v>2007</v>
      </c>
      <c r="B997" t="s">
        <v>121</v>
      </c>
      <c r="C997">
        <v>30</v>
      </c>
      <c r="D997">
        <v>55.109182813816297</v>
      </c>
    </row>
    <row r="998" spans="1:4" x14ac:dyDescent="0.3">
      <c r="A998">
        <v>2007</v>
      </c>
      <c r="B998" t="s">
        <v>121</v>
      </c>
      <c r="C998">
        <v>35</v>
      </c>
      <c r="D998">
        <v>74.146900513134696</v>
      </c>
    </row>
    <row r="999" spans="1:4" x14ac:dyDescent="0.3">
      <c r="A999">
        <v>2007</v>
      </c>
      <c r="B999" t="s">
        <v>121</v>
      </c>
      <c r="C999">
        <v>40</v>
      </c>
      <c r="D999">
        <v>89.176677644175498</v>
      </c>
    </row>
    <row r="1000" spans="1:4" x14ac:dyDescent="0.3">
      <c r="A1000">
        <v>2007</v>
      </c>
      <c r="B1000" t="s">
        <v>121</v>
      </c>
      <c r="C1000">
        <v>45</v>
      </c>
      <c r="D1000">
        <v>122.24218733246499</v>
      </c>
    </row>
    <row r="1001" spans="1:4" x14ac:dyDescent="0.3">
      <c r="A1001">
        <v>2007</v>
      </c>
      <c r="B1001" t="s">
        <v>121</v>
      </c>
      <c r="C1001">
        <v>50</v>
      </c>
      <c r="D1001">
        <v>140.27791988971401</v>
      </c>
    </row>
    <row r="1002" spans="1:4" x14ac:dyDescent="0.3">
      <c r="A1002">
        <v>2007</v>
      </c>
      <c r="B1002" t="s">
        <v>121</v>
      </c>
      <c r="C1002">
        <v>55</v>
      </c>
      <c r="D1002">
        <v>171.33945929386499</v>
      </c>
    </row>
    <row r="1003" spans="1:4" x14ac:dyDescent="0.3">
      <c r="A1003">
        <v>2007</v>
      </c>
      <c r="B1003" t="s">
        <v>121</v>
      </c>
      <c r="C1003">
        <v>60</v>
      </c>
      <c r="D1003">
        <v>204.404968982155</v>
      </c>
    </row>
    <row r="1004" spans="1:4" x14ac:dyDescent="0.3">
      <c r="A1004">
        <v>2007</v>
      </c>
      <c r="B1004" t="s">
        <v>121</v>
      </c>
      <c r="C1004">
        <v>65</v>
      </c>
      <c r="D1004">
        <v>211.418864976641</v>
      </c>
    </row>
    <row r="1005" spans="1:4" x14ac:dyDescent="0.3">
      <c r="A1005">
        <v>2007</v>
      </c>
      <c r="B1005" t="s">
        <v>121</v>
      </c>
      <c r="C1005">
        <v>70</v>
      </c>
      <c r="D1005">
        <v>253.50224094355499</v>
      </c>
    </row>
    <row r="1006" spans="1:4" x14ac:dyDescent="0.3">
      <c r="A1006">
        <v>2007</v>
      </c>
      <c r="B1006" t="s">
        <v>121</v>
      </c>
      <c r="C1006">
        <v>75</v>
      </c>
      <c r="D1006">
        <v>308.61142375737199</v>
      </c>
    </row>
    <row r="1007" spans="1:4" x14ac:dyDescent="0.3">
      <c r="A1007">
        <v>2007</v>
      </c>
      <c r="B1007" t="s">
        <v>121</v>
      </c>
      <c r="C1007">
        <v>80</v>
      </c>
      <c r="D1007">
        <v>349.69281458221599</v>
      </c>
    </row>
    <row r="1008" spans="1:4" x14ac:dyDescent="0.3">
      <c r="A1008">
        <v>2007</v>
      </c>
      <c r="B1008" t="s">
        <v>121</v>
      </c>
      <c r="C1008">
        <v>85</v>
      </c>
      <c r="D1008">
        <v>613.21490694646502</v>
      </c>
    </row>
    <row r="1009" spans="1:4" x14ac:dyDescent="0.3">
      <c r="A1009">
        <v>2008</v>
      </c>
      <c r="B1009" t="s">
        <v>121</v>
      </c>
      <c r="C1009">
        <v>0</v>
      </c>
      <c r="D1009">
        <v>208.61395390724101</v>
      </c>
    </row>
    <row r="1010" spans="1:4" x14ac:dyDescent="0.3">
      <c r="A1010">
        <v>2008</v>
      </c>
      <c r="B1010" t="s">
        <v>121</v>
      </c>
      <c r="C1010">
        <v>1</v>
      </c>
      <c r="D1010">
        <v>30.0271458381008</v>
      </c>
    </row>
    <row r="1011" spans="1:4" x14ac:dyDescent="0.3">
      <c r="A1011">
        <v>2008</v>
      </c>
      <c r="B1011" t="s">
        <v>121</v>
      </c>
      <c r="C1011">
        <v>5</v>
      </c>
      <c r="D1011">
        <v>20.018097225400499</v>
      </c>
    </row>
    <row r="1012" spans="1:4" x14ac:dyDescent="0.3">
      <c r="A1012">
        <v>2008</v>
      </c>
      <c r="B1012" t="s">
        <v>121</v>
      </c>
      <c r="C1012">
        <v>10</v>
      </c>
      <c r="D1012">
        <v>17.015382641590399</v>
      </c>
    </row>
    <row r="1013" spans="1:4" x14ac:dyDescent="0.3">
      <c r="A1013">
        <v>2008</v>
      </c>
      <c r="B1013" t="s">
        <v>121</v>
      </c>
      <c r="C1013">
        <v>15</v>
      </c>
      <c r="D1013">
        <v>29.026240976830699</v>
      </c>
    </row>
    <row r="1014" spans="1:4" x14ac:dyDescent="0.3">
      <c r="A1014">
        <v>2008</v>
      </c>
      <c r="B1014" t="s">
        <v>121</v>
      </c>
      <c r="C1014">
        <v>20</v>
      </c>
      <c r="D1014">
        <v>39.035289589530997</v>
      </c>
    </row>
    <row r="1015" spans="1:4" x14ac:dyDescent="0.3">
      <c r="A1015">
        <v>2008</v>
      </c>
      <c r="B1015" t="s">
        <v>121</v>
      </c>
      <c r="C1015">
        <v>25</v>
      </c>
      <c r="D1015">
        <v>39.035289589530997</v>
      </c>
    </row>
    <row r="1016" spans="1:4" x14ac:dyDescent="0.3">
      <c r="A1016">
        <v>2008</v>
      </c>
      <c r="B1016" t="s">
        <v>121</v>
      </c>
      <c r="C1016">
        <v>30</v>
      </c>
      <c r="D1016">
        <v>63.057006260011597</v>
      </c>
    </row>
    <row r="1017" spans="1:4" x14ac:dyDescent="0.3">
      <c r="A1017">
        <v>2008</v>
      </c>
      <c r="B1017" t="s">
        <v>121</v>
      </c>
      <c r="C1017">
        <v>35</v>
      </c>
      <c r="D1017">
        <v>66.059720843821694</v>
      </c>
    </row>
    <row r="1018" spans="1:4" x14ac:dyDescent="0.3">
      <c r="A1018">
        <v>2008</v>
      </c>
      <c r="B1018" t="s">
        <v>121</v>
      </c>
      <c r="C1018">
        <v>40</v>
      </c>
      <c r="D1018">
        <v>96.086866681922402</v>
      </c>
    </row>
    <row r="1019" spans="1:4" x14ac:dyDescent="0.3">
      <c r="A1019">
        <v>2008</v>
      </c>
      <c r="B1019" t="s">
        <v>121</v>
      </c>
      <c r="C1019">
        <v>45</v>
      </c>
      <c r="D1019">
        <v>122.110393074943</v>
      </c>
    </row>
    <row r="1020" spans="1:4" x14ac:dyDescent="0.3">
      <c r="A1020">
        <v>2008</v>
      </c>
      <c r="B1020" t="s">
        <v>121</v>
      </c>
      <c r="C1020">
        <v>50</v>
      </c>
      <c r="D1020">
        <v>130.11763196510299</v>
      </c>
    </row>
    <row r="1021" spans="1:4" x14ac:dyDescent="0.3">
      <c r="A1021">
        <v>2008</v>
      </c>
      <c r="B1021" t="s">
        <v>121</v>
      </c>
      <c r="C1021">
        <v>55</v>
      </c>
      <c r="D1021">
        <v>188.170113918765</v>
      </c>
    </row>
    <row r="1022" spans="1:4" x14ac:dyDescent="0.3">
      <c r="A1022">
        <v>2008</v>
      </c>
      <c r="B1022" t="s">
        <v>121</v>
      </c>
      <c r="C1022">
        <v>60</v>
      </c>
      <c r="D1022">
        <v>225.203593785756</v>
      </c>
    </row>
    <row r="1023" spans="1:4" x14ac:dyDescent="0.3">
      <c r="A1023">
        <v>2008</v>
      </c>
      <c r="B1023" t="s">
        <v>121</v>
      </c>
      <c r="C1023">
        <v>65</v>
      </c>
      <c r="D1023">
        <v>257.23254934639698</v>
      </c>
    </row>
    <row r="1024" spans="1:4" x14ac:dyDescent="0.3">
      <c r="A1024">
        <v>2008</v>
      </c>
      <c r="B1024" t="s">
        <v>121</v>
      </c>
      <c r="C1024">
        <v>70</v>
      </c>
      <c r="D1024">
        <v>349.31579658323898</v>
      </c>
    </row>
    <row r="1025" spans="1:4" x14ac:dyDescent="0.3">
      <c r="A1025">
        <v>2008</v>
      </c>
      <c r="B1025" t="s">
        <v>121</v>
      </c>
      <c r="C1025">
        <v>75</v>
      </c>
      <c r="D1025">
        <v>350.31670144450902</v>
      </c>
    </row>
    <row r="1026" spans="1:4" x14ac:dyDescent="0.3">
      <c r="A1026">
        <v>2008</v>
      </c>
      <c r="B1026" t="s">
        <v>121</v>
      </c>
      <c r="C1026">
        <v>80</v>
      </c>
      <c r="D1026">
        <v>338.30584310926901</v>
      </c>
    </row>
    <row r="1027" spans="1:4" x14ac:dyDescent="0.3">
      <c r="A1027">
        <v>2008</v>
      </c>
      <c r="B1027" t="s">
        <v>121</v>
      </c>
      <c r="C1027">
        <v>85</v>
      </c>
      <c r="D1027">
        <v>749.677741091249</v>
      </c>
    </row>
    <row r="1028" spans="1:4" x14ac:dyDescent="0.3">
      <c r="A1028">
        <v>2009</v>
      </c>
      <c r="B1028" t="s">
        <v>121</v>
      </c>
      <c r="C1028">
        <v>0</v>
      </c>
      <c r="D1028">
        <v>206.20375865479701</v>
      </c>
    </row>
    <row r="1029" spans="1:4" x14ac:dyDescent="0.3">
      <c r="A1029">
        <v>2009</v>
      </c>
      <c r="B1029" t="s">
        <v>121</v>
      </c>
      <c r="C1029">
        <v>1</v>
      </c>
      <c r="D1029">
        <v>30.029673590504501</v>
      </c>
    </row>
    <row r="1030" spans="1:4" x14ac:dyDescent="0.3">
      <c r="A1030">
        <v>2009</v>
      </c>
      <c r="B1030" t="s">
        <v>121</v>
      </c>
      <c r="C1030">
        <v>5</v>
      </c>
      <c r="D1030">
        <v>25.024727992087001</v>
      </c>
    </row>
    <row r="1031" spans="1:4" x14ac:dyDescent="0.3">
      <c r="A1031">
        <v>2009</v>
      </c>
      <c r="B1031" t="s">
        <v>121</v>
      </c>
      <c r="C1031">
        <v>10</v>
      </c>
      <c r="D1031">
        <v>23.022749752720099</v>
      </c>
    </row>
    <row r="1032" spans="1:4" x14ac:dyDescent="0.3">
      <c r="A1032">
        <v>2009</v>
      </c>
      <c r="B1032" t="s">
        <v>121</v>
      </c>
      <c r="C1032">
        <v>15</v>
      </c>
      <c r="D1032">
        <v>58.057368941641897</v>
      </c>
    </row>
    <row r="1033" spans="1:4" x14ac:dyDescent="0.3">
      <c r="A1033">
        <v>2009</v>
      </c>
      <c r="B1033" t="s">
        <v>121</v>
      </c>
      <c r="C1033">
        <v>20</v>
      </c>
      <c r="D1033">
        <v>44.043521266073199</v>
      </c>
    </row>
    <row r="1034" spans="1:4" x14ac:dyDescent="0.3">
      <c r="A1034">
        <v>2009</v>
      </c>
      <c r="B1034" t="s">
        <v>121</v>
      </c>
      <c r="C1034">
        <v>25</v>
      </c>
      <c r="D1034">
        <v>53.052423343224497</v>
      </c>
    </row>
    <row r="1035" spans="1:4" x14ac:dyDescent="0.3">
      <c r="A1035">
        <v>2009</v>
      </c>
      <c r="B1035" t="s">
        <v>121</v>
      </c>
      <c r="C1035">
        <v>30</v>
      </c>
      <c r="D1035">
        <v>51.050445103857598</v>
      </c>
    </row>
    <row r="1036" spans="1:4" x14ac:dyDescent="0.3">
      <c r="A1036">
        <v>2009</v>
      </c>
      <c r="B1036" t="s">
        <v>121</v>
      </c>
      <c r="C1036">
        <v>35</v>
      </c>
      <c r="D1036">
        <v>69.068249258160193</v>
      </c>
    </row>
    <row r="1037" spans="1:4" x14ac:dyDescent="0.3">
      <c r="A1037">
        <v>2009</v>
      </c>
      <c r="B1037" t="s">
        <v>121</v>
      </c>
      <c r="C1037">
        <v>40</v>
      </c>
      <c r="D1037">
        <v>95.093966369930797</v>
      </c>
    </row>
    <row r="1038" spans="1:4" x14ac:dyDescent="0.3">
      <c r="A1038">
        <v>2009</v>
      </c>
      <c r="B1038" t="s">
        <v>121</v>
      </c>
      <c r="C1038">
        <v>45</v>
      </c>
      <c r="D1038">
        <v>144.14243323442099</v>
      </c>
    </row>
    <row r="1039" spans="1:4" x14ac:dyDescent="0.3">
      <c r="A1039">
        <v>2009</v>
      </c>
      <c r="B1039" t="s">
        <v>121</v>
      </c>
      <c r="C1039">
        <v>50</v>
      </c>
      <c r="D1039">
        <v>167.16518298714101</v>
      </c>
    </row>
    <row r="1040" spans="1:4" x14ac:dyDescent="0.3">
      <c r="A1040">
        <v>2009</v>
      </c>
      <c r="B1040" t="s">
        <v>121</v>
      </c>
      <c r="C1040">
        <v>55</v>
      </c>
      <c r="D1040">
        <v>202.199802176063</v>
      </c>
    </row>
    <row r="1041" spans="1:4" x14ac:dyDescent="0.3">
      <c r="A1041">
        <v>2009</v>
      </c>
      <c r="B1041" t="s">
        <v>121</v>
      </c>
      <c r="C1041">
        <v>60</v>
      </c>
      <c r="D1041">
        <v>211.20870425321499</v>
      </c>
    </row>
    <row r="1042" spans="1:4" x14ac:dyDescent="0.3">
      <c r="A1042">
        <v>2009</v>
      </c>
      <c r="B1042" t="s">
        <v>121</v>
      </c>
      <c r="C1042">
        <v>65</v>
      </c>
      <c r="D1042">
        <v>268.26508407517298</v>
      </c>
    </row>
    <row r="1043" spans="1:4" x14ac:dyDescent="0.3">
      <c r="A1043">
        <v>2009</v>
      </c>
      <c r="B1043" t="s">
        <v>121</v>
      </c>
      <c r="C1043">
        <v>70</v>
      </c>
      <c r="D1043">
        <v>285.28189910979199</v>
      </c>
    </row>
    <row r="1044" spans="1:4" x14ac:dyDescent="0.3">
      <c r="A1044">
        <v>2009</v>
      </c>
      <c r="B1044" t="s">
        <v>121</v>
      </c>
      <c r="C1044">
        <v>75</v>
      </c>
      <c r="D1044">
        <v>348.34421364985201</v>
      </c>
    </row>
    <row r="1045" spans="1:4" x14ac:dyDescent="0.3">
      <c r="A1045">
        <v>2009</v>
      </c>
      <c r="B1045" t="s">
        <v>121</v>
      </c>
      <c r="C1045">
        <v>80</v>
      </c>
      <c r="D1045">
        <v>346.34223541048499</v>
      </c>
    </row>
    <row r="1046" spans="1:4" x14ac:dyDescent="0.3">
      <c r="A1046">
        <v>2009</v>
      </c>
      <c r="B1046" t="s">
        <v>121</v>
      </c>
      <c r="C1046">
        <v>85</v>
      </c>
      <c r="D1046">
        <v>745.73689416419404</v>
      </c>
    </row>
    <row r="1047" spans="1:4" x14ac:dyDescent="0.3">
      <c r="A1047">
        <v>2010</v>
      </c>
      <c r="B1047" t="s">
        <v>121</v>
      </c>
      <c r="C1047">
        <v>0</v>
      </c>
      <c r="D1047">
        <v>224.97703534278801</v>
      </c>
    </row>
    <row r="1048" spans="1:4" x14ac:dyDescent="0.3">
      <c r="A1048">
        <v>2010</v>
      </c>
      <c r="B1048" t="s">
        <v>121</v>
      </c>
      <c r="C1048">
        <v>1</v>
      </c>
      <c r="D1048">
        <v>42.011717727883401</v>
      </c>
    </row>
    <row r="1049" spans="1:4" x14ac:dyDescent="0.3">
      <c r="A1049">
        <v>2010</v>
      </c>
      <c r="B1049" t="s">
        <v>121</v>
      </c>
      <c r="C1049">
        <v>5</v>
      </c>
      <c r="D1049">
        <v>20.0055798704207</v>
      </c>
    </row>
    <row r="1050" spans="1:4" x14ac:dyDescent="0.3">
      <c r="A1050">
        <v>2010</v>
      </c>
      <c r="B1050" t="s">
        <v>121</v>
      </c>
      <c r="C1050">
        <v>10</v>
      </c>
      <c r="D1050">
        <v>32.008927792672999</v>
      </c>
    </row>
    <row r="1051" spans="1:4" x14ac:dyDescent="0.3">
      <c r="A1051">
        <v>2010</v>
      </c>
      <c r="B1051" t="s">
        <v>121</v>
      </c>
      <c r="C1051">
        <v>15</v>
      </c>
      <c r="D1051">
        <v>36.0100437667572</v>
      </c>
    </row>
    <row r="1052" spans="1:4" x14ac:dyDescent="0.3">
      <c r="A1052">
        <v>2010</v>
      </c>
      <c r="B1052" t="s">
        <v>121</v>
      </c>
      <c r="C1052">
        <v>20</v>
      </c>
      <c r="D1052">
        <v>42.011717727883401</v>
      </c>
    </row>
    <row r="1053" spans="1:4" x14ac:dyDescent="0.3">
      <c r="A1053">
        <v>2010</v>
      </c>
      <c r="B1053" t="s">
        <v>121</v>
      </c>
      <c r="C1053">
        <v>25</v>
      </c>
      <c r="D1053">
        <v>46.012833701967502</v>
      </c>
    </row>
    <row r="1054" spans="1:4" x14ac:dyDescent="0.3">
      <c r="A1054">
        <v>2010</v>
      </c>
      <c r="B1054" t="s">
        <v>121</v>
      </c>
      <c r="C1054">
        <v>30</v>
      </c>
      <c r="D1054">
        <v>46.012833701967502</v>
      </c>
    </row>
    <row r="1055" spans="1:4" x14ac:dyDescent="0.3">
      <c r="A1055">
        <v>2010</v>
      </c>
      <c r="B1055" t="s">
        <v>121</v>
      </c>
      <c r="C1055">
        <v>35</v>
      </c>
      <c r="D1055">
        <v>61.017018604782997</v>
      </c>
    </row>
    <row r="1056" spans="1:4" x14ac:dyDescent="0.3">
      <c r="A1056">
        <v>2010</v>
      </c>
      <c r="B1056" t="s">
        <v>121</v>
      </c>
      <c r="C1056">
        <v>40</v>
      </c>
      <c r="D1056">
        <v>112.03124727435601</v>
      </c>
    </row>
    <row r="1057" spans="1:4" x14ac:dyDescent="0.3">
      <c r="A1057">
        <v>2010</v>
      </c>
      <c r="B1057" t="s">
        <v>121</v>
      </c>
      <c r="C1057">
        <v>45</v>
      </c>
      <c r="D1057">
        <v>137.03822211238199</v>
      </c>
    </row>
    <row r="1058" spans="1:4" x14ac:dyDescent="0.3">
      <c r="A1058">
        <v>2010</v>
      </c>
      <c r="B1058" t="s">
        <v>121</v>
      </c>
      <c r="C1058">
        <v>50</v>
      </c>
      <c r="D1058">
        <v>192.45201813935</v>
      </c>
    </row>
    <row r="1059" spans="1:4" x14ac:dyDescent="0.3">
      <c r="A1059">
        <v>2010</v>
      </c>
      <c r="B1059" t="s">
        <v>121</v>
      </c>
      <c r="C1059">
        <v>55</v>
      </c>
      <c r="D1059">
        <v>194.05412474308</v>
      </c>
    </row>
    <row r="1060" spans="1:4" x14ac:dyDescent="0.3">
      <c r="A1060">
        <v>2010</v>
      </c>
      <c r="B1060" t="s">
        <v>121</v>
      </c>
      <c r="C1060">
        <v>60</v>
      </c>
      <c r="D1060">
        <v>258.07198032842598</v>
      </c>
    </row>
    <row r="1061" spans="1:4" x14ac:dyDescent="0.3">
      <c r="A1061">
        <v>2010</v>
      </c>
      <c r="B1061" t="s">
        <v>121</v>
      </c>
      <c r="C1061">
        <v>65</v>
      </c>
      <c r="D1061">
        <v>280.07811818588902</v>
      </c>
    </row>
    <row r="1062" spans="1:4" x14ac:dyDescent="0.3">
      <c r="A1062">
        <v>2010</v>
      </c>
      <c r="B1062" t="s">
        <v>121</v>
      </c>
      <c r="C1062">
        <v>70</v>
      </c>
      <c r="D1062">
        <v>300.08369805631003</v>
      </c>
    </row>
    <row r="1063" spans="1:4" x14ac:dyDescent="0.3">
      <c r="A1063">
        <v>2010</v>
      </c>
      <c r="B1063" t="s">
        <v>121</v>
      </c>
      <c r="C1063">
        <v>75</v>
      </c>
      <c r="D1063">
        <v>340.09485779715101</v>
      </c>
    </row>
    <row r="1064" spans="1:4" x14ac:dyDescent="0.3">
      <c r="A1064">
        <v>2010</v>
      </c>
      <c r="B1064" t="s">
        <v>121</v>
      </c>
      <c r="C1064">
        <v>80</v>
      </c>
      <c r="D1064">
        <v>406.11327136953901</v>
      </c>
    </row>
    <row r="1065" spans="1:4" x14ac:dyDescent="0.3">
      <c r="A1065">
        <v>2010</v>
      </c>
      <c r="B1065" t="s">
        <v>121</v>
      </c>
      <c r="C1065">
        <v>85</v>
      </c>
      <c r="D1065">
        <v>815.22737971964204</v>
      </c>
    </row>
    <row r="1066" spans="1:4" x14ac:dyDescent="0.3">
      <c r="A1066">
        <v>2011</v>
      </c>
      <c r="B1066" t="s">
        <v>121</v>
      </c>
      <c r="C1066">
        <v>0</v>
      </c>
      <c r="D1066">
        <v>191.31663271241001</v>
      </c>
    </row>
    <row r="1067" spans="1:4" x14ac:dyDescent="0.3">
      <c r="A1067">
        <v>2011</v>
      </c>
      <c r="B1067" t="s">
        <v>121</v>
      </c>
      <c r="C1067">
        <v>1</v>
      </c>
      <c r="D1067">
        <v>38.013783108509202</v>
      </c>
    </row>
    <row r="1068" spans="1:4" x14ac:dyDescent="0.3">
      <c r="A1068">
        <v>2011</v>
      </c>
      <c r="B1068" t="s">
        <v>121</v>
      </c>
      <c r="C1068">
        <v>5</v>
      </c>
      <c r="D1068">
        <v>18.0065288408728</v>
      </c>
    </row>
    <row r="1069" spans="1:4" x14ac:dyDescent="0.3">
      <c r="A1069">
        <v>2011</v>
      </c>
      <c r="B1069" t="s">
        <v>121</v>
      </c>
      <c r="C1069">
        <v>10</v>
      </c>
      <c r="D1069">
        <v>27.009793261309198</v>
      </c>
    </row>
    <row r="1070" spans="1:4" x14ac:dyDescent="0.3">
      <c r="A1070">
        <v>2011</v>
      </c>
      <c r="B1070" t="s">
        <v>121</v>
      </c>
      <c r="C1070">
        <v>15</v>
      </c>
      <c r="D1070">
        <v>39.014145821891098</v>
      </c>
    </row>
    <row r="1071" spans="1:4" x14ac:dyDescent="0.3">
      <c r="A1071">
        <v>2011</v>
      </c>
      <c r="B1071" t="s">
        <v>121</v>
      </c>
      <c r="C1071">
        <v>20</v>
      </c>
      <c r="D1071">
        <v>54.019586522618397</v>
      </c>
    </row>
    <row r="1072" spans="1:4" x14ac:dyDescent="0.3">
      <c r="A1072">
        <v>2011</v>
      </c>
      <c r="B1072" t="s">
        <v>121</v>
      </c>
      <c r="C1072">
        <v>25</v>
      </c>
      <c r="D1072">
        <v>45.016322102182002</v>
      </c>
    </row>
    <row r="1073" spans="1:4" x14ac:dyDescent="0.3">
      <c r="A1073">
        <v>2011</v>
      </c>
      <c r="B1073" t="s">
        <v>121</v>
      </c>
      <c r="C1073">
        <v>30</v>
      </c>
      <c r="D1073">
        <v>52.018861095854803</v>
      </c>
    </row>
    <row r="1074" spans="1:4" x14ac:dyDescent="0.3">
      <c r="A1074">
        <v>2011</v>
      </c>
      <c r="B1074" t="s">
        <v>121</v>
      </c>
      <c r="C1074">
        <v>35</v>
      </c>
      <c r="D1074">
        <v>82.0297424973094</v>
      </c>
    </row>
    <row r="1075" spans="1:4" x14ac:dyDescent="0.3">
      <c r="A1075">
        <v>2011</v>
      </c>
      <c r="B1075" t="s">
        <v>121</v>
      </c>
      <c r="C1075">
        <v>40</v>
      </c>
      <c r="D1075">
        <v>92.033369631127599</v>
      </c>
    </row>
    <row r="1076" spans="1:4" x14ac:dyDescent="0.3">
      <c r="A1076">
        <v>2011</v>
      </c>
      <c r="B1076" t="s">
        <v>121</v>
      </c>
      <c r="C1076">
        <v>45</v>
      </c>
      <c r="D1076">
        <v>111.04026118538199</v>
      </c>
    </row>
    <row r="1077" spans="1:4" x14ac:dyDescent="0.3">
      <c r="A1077">
        <v>2011</v>
      </c>
      <c r="B1077" t="s">
        <v>121</v>
      </c>
      <c r="C1077">
        <v>50</v>
      </c>
      <c r="D1077">
        <v>169.06129856152799</v>
      </c>
    </row>
    <row r="1078" spans="1:4" x14ac:dyDescent="0.3">
      <c r="A1078">
        <v>2011</v>
      </c>
      <c r="B1078" t="s">
        <v>121</v>
      </c>
      <c r="C1078">
        <v>55</v>
      </c>
      <c r="D1078">
        <v>207.07508167003701</v>
      </c>
    </row>
    <row r="1079" spans="1:4" x14ac:dyDescent="0.3">
      <c r="A1079">
        <v>2011</v>
      </c>
      <c r="B1079" t="s">
        <v>121</v>
      </c>
      <c r="C1079">
        <v>60</v>
      </c>
      <c r="D1079">
        <v>235.08523764472801</v>
      </c>
    </row>
    <row r="1080" spans="1:4" x14ac:dyDescent="0.3">
      <c r="A1080">
        <v>2011</v>
      </c>
      <c r="B1080" t="s">
        <v>121</v>
      </c>
      <c r="C1080">
        <v>65</v>
      </c>
      <c r="D1080">
        <v>285.10337331381902</v>
      </c>
    </row>
    <row r="1081" spans="1:4" x14ac:dyDescent="0.3">
      <c r="A1081">
        <v>2011</v>
      </c>
      <c r="B1081" t="s">
        <v>121</v>
      </c>
      <c r="C1081">
        <v>70</v>
      </c>
      <c r="D1081">
        <v>279.10119703352802</v>
      </c>
    </row>
    <row r="1082" spans="1:4" x14ac:dyDescent="0.3">
      <c r="A1082">
        <v>2011</v>
      </c>
      <c r="B1082" t="s">
        <v>121</v>
      </c>
      <c r="C1082">
        <v>75</v>
      </c>
      <c r="D1082">
        <v>345.12513611672898</v>
      </c>
    </row>
    <row r="1083" spans="1:4" x14ac:dyDescent="0.3">
      <c r="A1083">
        <v>2011</v>
      </c>
      <c r="B1083" t="s">
        <v>121</v>
      </c>
      <c r="C1083">
        <v>80</v>
      </c>
      <c r="D1083">
        <v>403.14617349287403</v>
      </c>
    </row>
    <row r="1084" spans="1:4" x14ac:dyDescent="0.3">
      <c r="A1084">
        <v>2011</v>
      </c>
      <c r="B1084" t="s">
        <v>121</v>
      </c>
      <c r="C1084">
        <v>85</v>
      </c>
      <c r="D1084">
        <v>774.28074015752998</v>
      </c>
    </row>
    <row r="1085" spans="1:4" x14ac:dyDescent="0.3">
      <c r="A1085">
        <v>2012</v>
      </c>
      <c r="B1085" t="s">
        <v>121</v>
      </c>
      <c r="C1085">
        <v>0</v>
      </c>
      <c r="D1085">
        <v>208</v>
      </c>
    </row>
    <row r="1086" spans="1:4" x14ac:dyDescent="0.3">
      <c r="A1086">
        <v>2012</v>
      </c>
      <c r="B1086" t="s">
        <v>121</v>
      </c>
      <c r="C1086">
        <v>1</v>
      </c>
      <c r="D1086">
        <v>37</v>
      </c>
    </row>
    <row r="1087" spans="1:4" x14ac:dyDescent="0.3">
      <c r="A1087">
        <v>2012</v>
      </c>
      <c r="B1087" t="s">
        <v>121</v>
      </c>
      <c r="C1087">
        <v>5</v>
      </c>
      <c r="D1087">
        <v>19</v>
      </c>
    </row>
    <row r="1088" spans="1:4" x14ac:dyDescent="0.3">
      <c r="A1088">
        <v>2012</v>
      </c>
      <c r="B1088" t="s">
        <v>121</v>
      </c>
      <c r="C1088">
        <v>10</v>
      </c>
      <c r="D1088">
        <v>22</v>
      </c>
    </row>
    <row r="1089" spans="1:4" x14ac:dyDescent="0.3">
      <c r="A1089">
        <v>2012</v>
      </c>
      <c r="B1089" t="s">
        <v>121</v>
      </c>
      <c r="C1089">
        <v>15</v>
      </c>
      <c r="D1089">
        <v>30</v>
      </c>
    </row>
    <row r="1090" spans="1:4" x14ac:dyDescent="0.3">
      <c r="A1090">
        <v>2012</v>
      </c>
      <c r="B1090" t="s">
        <v>121</v>
      </c>
      <c r="C1090">
        <v>20</v>
      </c>
      <c r="D1090">
        <v>32</v>
      </c>
    </row>
    <row r="1091" spans="1:4" x14ac:dyDescent="0.3">
      <c r="A1091">
        <v>2012</v>
      </c>
      <c r="B1091" t="s">
        <v>121</v>
      </c>
      <c r="C1091">
        <v>25</v>
      </c>
      <c r="D1091">
        <v>58</v>
      </c>
    </row>
    <row r="1092" spans="1:4" x14ac:dyDescent="0.3">
      <c r="A1092">
        <v>2012</v>
      </c>
      <c r="B1092" t="s">
        <v>121</v>
      </c>
      <c r="C1092">
        <v>30</v>
      </c>
      <c r="D1092">
        <v>55</v>
      </c>
    </row>
    <row r="1093" spans="1:4" x14ac:dyDescent="0.3">
      <c r="A1093">
        <v>2012</v>
      </c>
      <c r="B1093" t="s">
        <v>121</v>
      </c>
      <c r="C1093">
        <v>35</v>
      </c>
      <c r="D1093">
        <v>80</v>
      </c>
    </row>
    <row r="1094" spans="1:4" x14ac:dyDescent="0.3">
      <c r="A1094">
        <v>2012</v>
      </c>
      <c r="B1094" t="s">
        <v>121</v>
      </c>
      <c r="C1094">
        <v>40</v>
      </c>
      <c r="D1094">
        <v>91</v>
      </c>
    </row>
    <row r="1095" spans="1:4" x14ac:dyDescent="0.3">
      <c r="A1095">
        <v>2012</v>
      </c>
      <c r="B1095" t="s">
        <v>121</v>
      </c>
      <c r="C1095">
        <v>45</v>
      </c>
      <c r="D1095">
        <v>134</v>
      </c>
    </row>
    <row r="1096" spans="1:4" x14ac:dyDescent="0.3">
      <c r="A1096">
        <v>2012</v>
      </c>
      <c r="B1096" t="s">
        <v>121</v>
      </c>
      <c r="C1096">
        <v>50</v>
      </c>
      <c r="D1096">
        <v>183</v>
      </c>
    </row>
    <row r="1097" spans="1:4" x14ac:dyDescent="0.3">
      <c r="A1097">
        <v>2012</v>
      </c>
      <c r="B1097" t="s">
        <v>121</v>
      </c>
      <c r="C1097">
        <v>55</v>
      </c>
      <c r="D1097">
        <v>228</v>
      </c>
    </row>
    <row r="1098" spans="1:4" x14ac:dyDescent="0.3">
      <c r="A1098">
        <v>2012</v>
      </c>
      <c r="B1098" t="s">
        <v>121</v>
      </c>
      <c r="C1098">
        <v>60</v>
      </c>
      <c r="D1098">
        <v>247</v>
      </c>
    </row>
    <row r="1099" spans="1:4" x14ac:dyDescent="0.3">
      <c r="A1099">
        <v>2012</v>
      </c>
      <c r="B1099" t="s">
        <v>121</v>
      </c>
      <c r="C1099">
        <v>65</v>
      </c>
      <c r="D1099">
        <v>317</v>
      </c>
    </row>
    <row r="1100" spans="1:4" x14ac:dyDescent="0.3">
      <c r="A1100">
        <v>2012</v>
      </c>
      <c r="B1100" t="s">
        <v>121</v>
      </c>
      <c r="C1100">
        <v>70</v>
      </c>
      <c r="D1100">
        <v>334</v>
      </c>
    </row>
    <row r="1101" spans="1:4" x14ac:dyDescent="0.3">
      <c r="A1101">
        <v>2012</v>
      </c>
      <c r="B1101" t="s">
        <v>121</v>
      </c>
      <c r="C1101">
        <v>75</v>
      </c>
      <c r="D1101">
        <v>374</v>
      </c>
    </row>
    <row r="1102" spans="1:4" x14ac:dyDescent="0.3">
      <c r="A1102">
        <v>2012</v>
      </c>
      <c r="B1102" t="s">
        <v>121</v>
      </c>
      <c r="C1102">
        <v>80</v>
      </c>
      <c r="D1102">
        <v>433</v>
      </c>
    </row>
    <row r="1103" spans="1:4" x14ac:dyDescent="0.3">
      <c r="A1103">
        <v>2012</v>
      </c>
      <c r="B1103" t="s">
        <v>121</v>
      </c>
      <c r="C1103">
        <v>85</v>
      </c>
      <c r="D1103">
        <v>811</v>
      </c>
    </row>
    <row r="1104" spans="1:4" x14ac:dyDescent="0.3">
      <c r="A1104">
        <v>2013</v>
      </c>
      <c r="B1104" t="s">
        <v>121</v>
      </c>
      <c r="C1104">
        <v>0</v>
      </c>
      <c r="D1104">
        <v>191.04879918242199</v>
      </c>
    </row>
    <row r="1105" spans="1:4" x14ac:dyDescent="0.3">
      <c r="A1105">
        <v>2013</v>
      </c>
      <c r="B1105" t="s">
        <v>121</v>
      </c>
      <c r="C1105">
        <v>1</v>
      </c>
      <c r="D1105">
        <v>32.008175779254003</v>
      </c>
    </row>
    <row r="1106" spans="1:4" x14ac:dyDescent="0.3">
      <c r="A1106">
        <v>2013</v>
      </c>
      <c r="B1106" t="s">
        <v>121</v>
      </c>
      <c r="C1106">
        <v>5</v>
      </c>
      <c r="D1106">
        <v>19.004854368932001</v>
      </c>
    </row>
    <row r="1107" spans="1:4" x14ac:dyDescent="0.3">
      <c r="A1107">
        <v>2013</v>
      </c>
      <c r="B1107" t="s">
        <v>121</v>
      </c>
      <c r="C1107">
        <v>10</v>
      </c>
      <c r="D1107">
        <v>21.0053653551354</v>
      </c>
    </row>
    <row r="1108" spans="1:4" x14ac:dyDescent="0.3">
      <c r="A1108">
        <v>2013</v>
      </c>
      <c r="B1108" t="s">
        <v>121</v>
      </c>
      <c r="C1108">
        <v>15</v>
      </c>
      <c r="D1108">
        <v>50.0127746550843</v>
      </c>
    </row>
    <row r="1109" spans="1:4" x14ac:dyDescent="0.3">
      <c r="A1109">
        <v>2013</v>
      </c>
      <c r="B1109" t="s">
        <v>121</v>
      </c>
      <c r="C1109">
        <v>20</v>
      </c>
      <c r="D1109">
        <v>53.013541134389399</v>
      </c>
    </row>
    <row r="1110" spans="1:4" x14ac:dyDescent="0.3">
      <c r="A1110">
        <v>2013</v>
      </c>
      <c r="B1110" t="s">
        <v>121</v>
      </c>
      <c r="C1110">
        <v>25</v>
      </c>
      <c r="D1110">
        <v>42.010730710270799</v>
      </c>
    </row>
    <row r="1111" spans="1:4" x14ac:dyDescent="0.3">
      <c r="A1111">
        <v>2013</v>
      </c>
      <c r="B1111" t="s">
        <v>121</v>
      </c>
      <c r="C1111">
        <v>30</v>
      </c>
      <c r="D1111">
        <v>56.014307613694399</v>
      </c>
    </row>
    <row r="1112" spans="1:4" x14ac:dyDescent="0.3">
      <c r="A1112">
        <v>2013</v>
      </c>
      <c r="B1112" t="s">
        <v>121</v>
      </c>
      <c r="C1112">
        <v>35</v>
      </c>
      <c r="D1112">
        <v>70.017884517118006</v>
      </c>
    </row>
    <row r="1113" spans="1:4" x14ac:dyDescent="0.3">
      <c r="A1113">
        <v>2013</v>
      </c>
      <c r="B1113" t="s">
        <v>121</v>
      </c>
      <c r="C1113">
        <v>40</v>
      </c>
      <c r="D1113">
        <v>100.025549310169</v>
      </c>
    </row>
    <row r="1114" spans="1:4" x14ac:dyDescent="0.3">
      <c r="A1114">
        <v>2013</v>
      </c>
      <c r="B1114" t="s">
        <v>121</v>
      </c>
      <c r="C1114">
        <v>45</v>
      </c>
      <c r="D1114">
        <v>145.037046499745</v>
      </c>
    </row>
    <row r="1115" spans="1:4" x14ac:dyDescent="0.3">
      <c r="A1115">
        <v>2013</v>
      </c>
      <c r="B1115" t="s">
        <v>121</v>
      </c>
      <c r="C1115">
        <v>50</v>
      </c>
      <c r="D1115">
        <v>203.05186509964199</v>
      </c>
    </row>
    <row r="1116" spans="1:4" x14ac:dyDescent="0.3">
      <c r="A1116">
        <v>2013</v>
      </c>
      <c r="B1116" t="s">
        <v>121</v>
      </c>
      <c r="C1116">
        <v>55</v>
      </c>
      <c r="D1116">
        <v>250.063873275422</v>
      </c>
    </row>
    <row r="1117" spans="1:4" x14ac:dyDescent="0.3">
      <c r="A1117">
        <v>2013</v>
      </c>
      <c r="B1117" t="s">
        <v>121</v>
      </c>
      <c r="C1117">
        <v>60</v>
      </c>
      <c r="D1117">
        <v>246.06285130301501</v>
      </c>
    </row>
    <row r="1118" spans="1:4" x14ac:dyDescent="0.3">
      <c r="A1118">
        <v>2013</v>
      </c>
      <c r="B1118" t="s">
        <v>121</v>
      </c>
      <c r="C1118">
        <v>65</v>
      </c>
      <c r="D1118">
        <v>315.08048032703101</v>
      </c>
    </row>
    <row r="1119" spans="1:4" x14ac:dyDescent="0.3">
      <c r="A1119">
        <v>2013</v>
      </c>
      <c r="B1119" t="s">
        <v>121</v>
      </c>
      <c r="C1119">
        <v>70</v>
      </c>
      <c r="D1119">
        <v>331.084568216658</v>
      </c>
    </row>
    <row r="1120" spans="1:4" x14ac:dyDescent="0.3">
      <c r="A1120">
        <v>2013</v>
      </c>
      <c r="B1120" t="s">
        <v>121</v>
      </c>
      <c r="C1120">
        <v>75</v>
      </c>
      <c r="D1120">
        <v>423.10807358201299</v>
      </c>
    </row>
    <row r="1121" spans="1:4" x14ac:dyDescent="0.3">
      <c r="A1121">
        <v>2013</v>
      </c>
      <c r="B1121" t="s">
        <v>121</v>
      </c>
      <c r="C1121">
        <v>80</v>
      </c>
      <c r="D1121">
        <v>447.11420541645401</v>
      </c>
    </row>
    <row r="1122" spans="1:4" x14ac:dyDescent="0.3">
      <c r="A1122">
        <v>2013</v>
      </c>
      <c r="B1122" t="s">
        <v>121</v>
      </c>
      <c r="C1122">
        <v>85</v>
      </c>
      <c r="D1122">
        <v>920.23505365355095</v>
      </c>
    </row>
    <row r="1123" spans="1:4" x14ac:dyDescent="0.3">
      <c r="A1123">
        <v>2014</v>
      </c>
      <c r="B1123" t="s">
        <v>121</v>
      </c>
      <c r="C1123">
        <v>0</v>
      </c>
      <c r="D1123">
        <v>194.45754716981099</v>
      </c>
    </row>
    <row r="1124" spans="1:4" x14ac:dyDescent="0.3">
      <c r="A1124">
        <v>2014</v>
      </c>
      <c r="B1124" t="s">
        <v>121</v>
      </c>
      <c r="C1124">
        <v>1</v>
      </c>
      <c r="D1124">
        <v>36</v>
      </c>
    </row>
    <row r="1125" spans="1:4" x14ac:dyDescent="0.3">
      <c r="A1125">
        <v>2014</v>
      </c>
      <c r="B1125" t="s">
        <v>121</v>
      </c>
      <c r="C1125">
        <v>5</v>
      </c>
      <c r="D1125">
        <v>19</v>
      </c>
    </row>
    <row r="1126" spans="1:4" x14ac:dyDescent="0.3">
      <c r="A1126">
        <v>2014</v>
      </c>
      <c r="B1126" t="s">
        <v>121</v>
      </c>
      <c r="C1126">
        <v>10</v>
      </c>
      <c r="D1126">
        <v>23</v>
      </c>
    </row>
    <row r="1127" spans="1:4" x14ac:dyDescent="0.3">
      <c r="A1127">
        <v>2014</v>
      </c>
      <c r="B1127" t="s">
        <v>121</v>
      </c>
      <c r="C1127">
        <v>15</v>
      </c>
      <c r="D1127">
        <v>35</v>
      </c>
    </row>
    <row r="1128" spans="1:4" x14ac:dyDescent="0.3">
      <c r="A1128">
        <v>2014</v>
      </c>
      <c r="B1128" t="s">
        <v>121</v>
      </c>
      <c r="C1128">
        <v>20</v>
      </c>
      <c r="D1128">
        <v>59</v>
      </c>
    </row>
    <row r="1129" spans="1:4" x14ac:dyDescent="0.3">
      <c r="A1129">
        <v>2014</v>
      </c>
      <c r="B1129" t="s">
        <v>121</v>
      </c>
      <c r="C1129">
        <v>25</v>
      </c>
      <c r="D1129">
        <v>61</v>
      </c>
    </row>
    <row r="1130" spans="1:4" x14ac:dyDescent="0.3">
      <c r="A1130">
        <v>2014</v>
      </c>
      <c r="B1130" t="s">
        <v>121</v>
      </c>
      <c r="C1130">
        <v>30</v>
      </c>
      <c r="D1130">
        <v>62</v>
      </c>
    </row>
    <row r="1131" spans="1:4" x14ac:dyDescent="0.3">
      <c r="A1131">
        <v>2014</v>
      </c>
      <c r="B1131" t="s">
        <v>121</v>
      </c>
      <c r="C1131">
        <v>35</v>
      </c>
      <c r="D1131">
        <v>82</v>
      </c>
    </row>
    <row r="1132" spans="1:4" x14ac:dyDescent="0.3">
      <c r="A1132">
        <v>2014</v>
      </c>
      <c r="B1132" t="s">
        <v>121</v>
      </c>
      <c r="C1132">
        <v>40</v>
      </c>
      <c r="D1132">
        <v>115</v>
      </c>
    </row>
    <row r="1133" spans="1:4" x14ac:dyDescent="0.3">
      <c r="A1133">
        <v>2014</v>
      </c>
      <c r="B1133" t="s">
        <v>121</v>
      </c>
      <c r="C1133">
        <v>45</v>
      </c>
      <c r="D1133">
        <v>169</v>
      </c>
    </row>
    <row r="1134" spans="1:4" x14ac:dyDescent="0.3">
      <c r="A1134">
        <v>2014</v>
      </c>
      <c r="B1134" t="s">
        <v>121</v>
      </c>
      <c r="C1134">
        <v>50</v>
      </c>
      <c r="D1134">
        <v>221</v>
      </c>
    </row>
    <row r="1135" spans="1:4" x14ac:dyDescent="0.3">
      <c r="A1135">
        <v>2014</v>
      </c>
      <c r="B1135" t="s">
        <v>121</v>
      </c>
      <c r="C1135">
        <v>55</v>
      </c>
      <c r="D1135">
        <v>280</v>
      </c>
    </row>
    <row r="1136" spans="1:4" x14ac:dyDescent="0.3">
      <c r="A1136">
        <v>2014</v>
      </c>
      <c r="B1136" t="s">
        <v>121</v>
      </c>
      <c r="C1136">
        <v>60</v>
      </c>
      <c r="D1136">
        <v>337</v>
      </c>
    </row>
    <row r="1137" spans="1:4" x14ac:dyDescent="0.3">
      <c r="A1137">
        <v>2014</v>
      </c>
      <c r="B1137" t="s">
        <v>121</v>
      </c>
      <c r="C1137">
        <v>65</v>
      </c>
      <c r="D1137">
        <v>364</v>
      </c>
    </row>
    <row r="1138" spans="1:4" x14ac:dyDescent="0.3">
      <c r="A1138">
        <v>2014</v>
      </c>
      <c r="B1138" t="s">
        <v>121</v>
      </c>
      <c r="C1138">
        <v>70</v>
      </c>
      <c r="D1138">
        <v>302</v>
      </c>
    </row>
    <row r="1139" spans="1:4" x14ac:dyDescent="0.3">
      <c r="A1139">
        <v>2014</v>
      </c>
      <c r="B1139" t="s">
        <v>121</v>
      </c>
      <c r="C1139">
        <v>75</v>
      </c>
      <c r="D1139">
        <v>397</v>
      </c>
    </row>
    <row r="1140" spans="1:4" x14ac:dyDescent="0.3">
      <c r="A1140">
        <v>2014</v>
      </c>
      <c r="B1140" t="s">
        <v>121</v>
      </c>
      <c r="C1140">
        <v>80</v>
      </c>
      <c r="D1140">
        <v>470</v>
      </c>
    </row>
    <row r="1141" spans="1:4" x14ac:dyDescent="0.3">
      <c r="A1141">
        <v>2014</v>
      </c>
      <c r="B1141" t="s">
        <v>121</v>
      </c>
      <c r="C1141">
        <v>85</v>
      </c>
      <c r="D1141">
        <v>954</v>
      </c>
    </row>
    <row r="1142" spans="1:4" x14ac:dyDescent="0.3">
      <c r="A1142">
        <v>2015</v>
      </c>
      <c r="B1142" t="s">
        <v>121</v>
      </c>
      <c r="C1142">
        <v>0</v>
      </c>
      <c r="D1142">
        <v>174</v>
      </c>
    </row>
    <row r="1143" spans="1:4" x14ac:dyDescent="0.3">
      <c r="A1143">
        <v>2015</v>
      </c>
      <c r="B1143" t="s">
        <v>121</v>
      </c>
      <c r="C1143">
        <v>1</v>
      </c>
      <c r="D1143">
        <v>28</v>
      </c>
    </row>
    <row r="1144" spans="1:4" x14ac:dyDescent="0.3">
      <c r="A1144">
        <v>2015</v>
      </c>
      <c r="B1144" t="s">
        <v>121</v>
      </c>
      <c r="C1144">
        <v>5</v>
      </c>
      <c r="D1144">
        <v>20</v>
      </c>
    </row>
    <row r="1145" spans="1:4" x14ac:dyDescent="0.3">
      <c r="A1145">
        <v>2015</v>
      </c>
      <c r="B1145" t="s">
        <v>121</v>
      </c>
      <c r="C1145">
        <v>10</v>
      </c>
      <c r="D1145">
        <v>21</v>
      </c>
    </row>
    <row r="1146" spans="1:4" x14ac:dyDescent="0.3">
      <c r="A1146">
        <v>2015</v>
      </c>
      <c r="B1146" t="s">
        <v>121</v>
      </c>
      <c r="C1146">
        <v>15</v>
      </c>
      <c r="D1146">
        <v>30</v>
      </c>
    </row>
    <row r="1147" spans="1:4" x14ac:dyDescent="0.3">
      <c r="A1147">
        <v>2015</v>
      </c>
      <c r="B1147" t="s">
        <v>121</v>
      </c>
      <c r="C1147">
        <v>20</v>
      </c>
      <c r="D1147">
        <v>57</v>
      </c>
    </row>
    <row r="1148" spans="1:4" x14ac:dyDescent="0.3">
      <c r="A1148">
        <v>2015</v>
      </c>
      <c r="B1148" t="s">
        <v>121</v>
      </c>
      <c r="C1148">
        <v>25</v>
      </c>
      <c r="D1148">
        <v>48</v>
      </c>
    </row>
    <row r="1149" spans="1:4" x14ac:dyDescent="0.3">
      <c r="A1149">
        <v>2015</v>
      </c>
      <c r="B1149" t="s">
        <v>121</v>
      </c>
      <c r="C1149">
        <v>30</v>
      </c>
      <c r="D1149">
        <v>61</v>
      </c>
    </row>
    <row r="1150" spans="1:4" x14ac:dyDescent="0.3">
      <c r="A1150">
        <v>2015</v>
      </c>
      <c r="B1150" t="s">
        <v>121</v>
      </c>
      <c r="C1150">
        <v>35</v>
      </c>
      <c r="D1150">
        <v>75</v>
      </c>
    </row>
    <row r="1151" spans="1:4" x14ac:dyDescent="0.3">
      <c r="A1151">
        <v>2015</v>
      </c>
      <c r="B1151" t="s">
        <v>121</v>
      </c>
      <c r="C1151">
        <v>40</v>
      </c>
      <c r="D1151">
        <v>98.304347826086996</v>
      </c>
    </row>
    <row r="1152" spans="1:4" x14ac:dyDescent="0.3">
      <c r="A1152">
        <v>2015</v>
      </c>
      <c r="B1152" t="s">
        <v>121</v>
      </c>
      <c r="C1152">
        <v>45</v>
      </c>
      <c r="D1152">
        <v>125</v>
      </c>
    </row>
    <row r="1153" spans="1:4" x14ac:dyDescent="0.3">
      <c r="A1153">
        <v>2015</v>
      </c>
      <c r="B1153" t="s">
        <v>121</v>
      </c>
      <c r="C1153">
        <v>50</v>
      </c>
      <c r="D1153">
        <v>195.39235412474801</v>
      </c>
    </row>
    <row r="1154" spans="1:4" x14ac:dyDescent="0.3">
      <c r="A1154">
        <v>2015</v>
      </c>
      <c r="B1154" t="s">
        <v>121</v>
      </c>
      <c r="C1154">
        <v>55</v>
      </c>
      <c r="D1154">
        <v>233</v>
      </c>
    </row>
    <row r="1155" spans="1:4" x14ac:dyDescent="0.3">
      <c r="A1155">
        <v>2015</v>
      </c>
      <c r="B1155" t="s">
        <v>121</v>
      </c>
      <c r="C1155">
        <v>60</v>
      </c>
      <c r="D1155">
        <v>289</v>
      </c>
    </row>
    <row r="1156" spans="1:4" x14ac:dyDescent="0.3">
      <c r="A1156">
        <v>2015</v>
      </c>
      <c r="B1156" t="s">
        <v>121</v>
      </c>
      <c r="C1156">
        <v>65</v>
      </c>
      <c r="D1156">
        <v>320</v>
      </c>
    </row>
    <row r="1157" spans="1:4" x14ac:dyDescent="0.3">
      <c r="A1157">
        <v>2015</v>
      </c>
      <c r="B1157" t="s">
        <v>121</v>
      </c>
      <c r="C1157">
        <v>70</v>
      </c>
      <c r="D1157">
        <v>349</v>
      </c>
    </row>
    <row r="1158" spans="1:4" x14ac:dyDescent="0.3">
      <c r="A1158">
        <v>2015</v>
      </c>
      <c r="B1158" t="s">
        <v>121</v>
      </c>
      <c r="C1158">
        <v>75</v>
      </c>
      <c r="D1158">
        <v>385</v>
      </c>
    </row>
    <row r="1159" spans="1:4" x14ac:dyDescent="0.3">
      <c r="A1159">
        <v>2015</v>
      </c>
      <c r="B1159" t="s">
        <v>121</v>
      </c>
      <c r="C1159">
        <v>80</v>
      </c>
      <c r="D1159">
        <v>457</v>
      </c>
    </row>
    <row r="1160" spans="1:4" x14ac:dyDescent="0.3">
      <c r="A1160">
        <v>2015</v>
      </c>
      <c r="B1160" t="s">
        <v>121</v>
      </c>
      <c r="C1160">
        <v>85</v>
      </c>
      <c r="D1160">
        <v>970.57159693576898</v>
      </c>
    </row>
    <row r="1161" spans="1:4" x14ac:dyDescent="0.3">
      <c r="A1161">
        <v>2016</v>
      </c>
      <c r="B1161" t="s">
        <v>121</v>
      </c>
      <c r="C1161">
        <v>0</v>
      </c>
      <c r="D1161">
        <v>175.08928571428601</v>
      </c>
    </row>
    <row r="1162" spans="1:4" x14ac:dyDescent="0.3">
      <c r="A1162">
        <v>2016</v>
      </c>
      <c r="B1162" t="s">
        <v>121</v>
      </c>
      <c r="C1162">
        <v>1</v>
      </c>
      <c r="D1162">
        <v>35.017857142857103</v>
      </c>
    </row>
    <row r="1163" spans="1:4" x14ac:dyDescent="0.3">
      <c r="A1163">
        <v>2016</v>
      </c>
      <c r="B1163" t="s">
        <v>121</v>
      </c>
      <c r="C1163">
        <v>5</v>
      </c>
      <c r="D1163">
        <v>21.0107142857143</v>
      </c>
    </row>
    <row r="1164" spans="1:4" x14ac:dyDescent="0.3">
      <c r="A1164">
        <v>2016</v>
      </c>
      <c r="B1164" t="s">
        <v>121</v>
      </c>
      <c r="C1164">
        <v>10</v>
      </c>
      <c r="D1164">
        <v>13.0066326530612</v>
      </c>
    </row>
    <row r="1165" spans="1:4" x14ac:dyDescent="0.3">
      <c r="A1165">
        <v>2016</v>
      </c>
      <c r="B1165" t="s">
        <v>121</v>
      </c>
      <c r="C1165">
        <v>15</v>
      </c>
      <c r="D1165">
        <v>40.020408163265301</v>
      </c>
    </row>
    <row r="1166" spans="1:4" x14ac:dyDescent="0.3">
      <c r="A1166">
        <v>2016</v>
      </c>
      <c r="B1166" t="s">
        <v>121</v>
      </c>
      <c r="C1166">
        <v>20</v>
      </c>
      <c r="D1166">
        <v>43.021938775510201</v>
      </c>
    </row>
    <row r="1167" spans="1:4" x14ac:dyDescent="0.3">
      <c r="A1167">
        <v>2016</v>
      </c>
      <c r="B1167" t="s">
        <v>121</v>
      </c>
      <c r="C1167">
        <v>25</v>
      </c>
      <c r="D1167">
        <v>59.030102040816303</v>
      </c>
    </row>
    <row r="1168" spans="1:4" x14ac:dyDescent="0.3">
      <c r="A1168">
        <v>2016</v>
      </c>
      <c r="B1168" t="s">
        <v>121</v>
      </c>
      <c r="C1168">
        <v>30</v>
      </c>
      <c r="D1168">
        <v>56.028571428571396</v>
      </c>
    </row>
    <row r="1169" spans="1:4" x14ac:dyDescent="0.3">
      <c r="A1169">
        <v>2016</v>
      </c>
      <c r="B1169" t="s">
        <v>121</v>
      </c>
      <c r="C1169">
        <v>35</v>
      </c>
      <c r="D1169">
        <v>78.039795918367304</v>
      </c>
    </row>
    <row r="1170" spans="1:4" x14ac:dyDescent="0.3">
      <c r="A1170">
        <v>2016</v>
      </c>
      <c r="B1170" t="s">
        <v>121</v>
      </c>
      <c r="C1170">
        <v>40</v>
      </c>
      <c r="D1170">
        <v>117.059693877551</v>
      </c>
    </row>
    <row r="1171" spans="1:4" x14ac:dyDescent="0.3">
      <c r="A1171">
        <v>2016</v>
      </c>
      <c r="B1171" t="s">
        <v>121</v>
      </c>
      <c r="C1171">
        <v>45</v>
      </c>
      <c r="D1171">
        <v>169.086224489796</v>
      </c>
    </row>
    <row r="1172" spans="1:4" x14ac:dyDescent="0.3">
      <c r="A1172">
        <v>2016</v>
      </c>
      <c r="B1172" t="s">
        <v>121</v>
      </c>
      <c r="C1172">
        <v>50</v>
      </c>
      <c r="D1172">
        <v>237.120918367347</v>
      </c>
    </row>
    <row r="1173" spans="1:4" x14ac:dyDescent="0.3">
      <c r="A1173">
        <v>2016</v>
      </c>
      <c r="B1173" t="s">
        <v>121</v>
      </c>
      <c r="C1173">
        <v>55</v>
      </c>
      <c r="D1173">
        <v>275.14030612244898</v>
      </c>
    </row>
    <row r="1174" spans="1:4" x14ac:dyDescent="0.3">
      <c r="A1174">
        <v>2016</v>
      </c>
      <c r="B1174" t="s">
        <v>121</v>
      </c>
      <c r="C1174">
        <v>60</v>
      </c>
      <c r="D1174">
        <v>312.15918367346899</v>
      </c>
    </row>
    <row r="1175" spans="1:4" x14ac:dyDescent="0.3">
      <c r="A1175">
        <v>2016</v>
      </c>
      <c r="B1175" t="s">
        <v>121</v>
      </c>
      <c r="C1175">
        <v>65</v>
      </c>
      <c r="D1175">
        <v>364.18571428571403</v>
      </c>
    </row>
    <row r="1176" spans="1:4" x14ac:dyDescent="0.3">
      <c r="A1176">
        <v>2016</v>
      </c>
      <c r="B1176" t="s">
        <v>121</v>
      </c>
      <c r="C1176">
        <v>70</v>
      </c>
      <c r="D1176">
        <v>362.18469387755101</v>
      </c>
    </row>
    <row r="1177" spans="1:4" x14ac:dyDescent="0.3">
      <c r="A1177">
        <v>2016</v>
      </c>
      <c r="B1177" t="s">
        <v>121</v>
      </c>
      <c r="C1177">
        <v>75</v>
      </c>
      <c r="D1177">
        <v>463.23622448979597</v>
      </c>
    </row>
    <row r="1178" spans="1:4" x14ac:dyDescent="0.3">
      <c r="A1178">
        <v>2016</v>
      </c>
      <c r="B1178" t="s">
        <v>121</v>
      </c>
      <c r="C1178">
        <v>80</v>
      </c>
      <c r="D1178">
        <v>485.24744897959198</v>
      </c>
    </row>
    <row r="1179" spans="1:4" x14ac:dyDescent="0.3">
      <c r="A1179">
        <v>2016</v>
      </c>
      <c r="B1179" t="s">
        <v>121</v>
      </c>
      <c r="C1179">
        <v>85</v>
      </c>
      <c r="D1179">
        <v>1106.56428571429</v>
      </c>
    </row>
    <row r="1180" spans="1:4" x14ac:dyDescent="0.3">
      <c r="A1180">
        <v>2017</v>
      </c>
      <c r="B1180" t="s">
        <v>121</v>
      </c>
      <c r="C1180">
        <v>0</v>
      </c>
      <c r="D1180">
        <v>183</v>
      </c>
    </row>
    <row r="1181" spans="1:4" x14ac:dyDescent="0.3">
      <c r="A1181">
        <v>2017</v>
      </c>
      <c r="B1181" t="s">
        <v>121</v>
      </c>
      <c r="C1181">
        <v>1</v>
      </c>
      <c r="D1181">
        <v>35</v>
      </c>
    </row>
    <row r="1182" spans="1:4" x14ac:dyDescent="0.3">
      <c r="A1182">
        <v>2017</v>
      </c>
      <c r="B1182" t="s">
        <v>121</v>
      </c>
      <c r="C1182">
        <v>5</v>
      </c>
      <c r="D1182">
        <v>7</v>
      </c>
    </row>
    <row r="1183" spans="1:4" x14ac:dyDescent="0.3">
      <c r="A1183">
        <v>2017</v>
      </c>
      <c r="B1183" t="s">
        <v>121</v>
      </c>
      <c r="C1183">
        <v>10</v>
      </c>
      <c r="D1183">
        <v>22</v>
      </c>
    </row>
    <row r="1184" spans="1:4" x14ac:dyDescent="0.3">
      <c r="A1184">
        <v>2017</v>
      </c>
      <c r="B1184" t="s">
        <v>121</v>
      </c>
      <c r="C1184">
        <v>15</v>
      </c>
      <c r="D1184">
        <v>42</v>
      </c>
    </row>
    <row r="1185" spans="1:4" x14ac:dyDescent="0.3">
      <c r="A1185">
        <v>2017</v>
      </c>
      <c r="B1185" t="s">
        <v>121</v>
      </c>
      <c r="C1185">
        <v>20</v>
      </c>
      <c r="D1185">
        <v>53</v>
      </c>
    </row>
    <row r="1186" spans="1:4" x14ac:dyDescent="0.3">
      <c r="A1186">
        <v>2017</v>
      </c>
      <c r="B1186" t="s">
        <v>121</v>
      </c>
      <c r="C1186">
        <v>25</v>
      </c>
      <c r="D1186">
        <v>69</v>
      </c>
    </row>
    <row r="1187" spans="1:4" x14ac:dyDescent="0.3">
      <c r="A1187">
        <v>2017</v>
      </c>
      <c r="B1187" t="s">
        <v>121</v>
      </c>
      <c r="C1187">
        <v>30</v>
      </c>
      <c r="D1187">
        <v>67</v>
      </c>
    </row>
    <row r="1188" spans="1:4" x14ac:dyDescent="0.3">
      <c r="A1188">
        <v>2017</v>
      </c>
      <c r="B1188" t="s">
        <v>121</v>
      </c>
      <c r="C1188">
        <v>35</v>
      </c>
      <c r="D1188">
        <v>79</v>
      </c>
    </row>
    <row r="1189" spans="1:4" x14ac:dyDescent="0.3">
      <c r="A1189">
        <v>2017</v>
      </c>
      <c r="B1189" t="s">
        <v>121</v>
      </c>
      <c r="C1189">
        <v>40</v>
      </c>
      <c r="D1189">
        <v>132.32432432432401</v>
      </c>
    </row>
    <row r="1190" spans="1:4" x14ac:dyDescent="0.3">
      <c r="A1190">
        <v>2017</v>
      </c>
      <c r="B1190" t="s">
        <v>121</v>
      </c>
      <c r="C1190">
        <v>45</v>
      </c>
      <c r="D1190">
        <v>172</v>
      </c>
    </row>
    <row r="1191" spans="1:4" x14ac:dyDescent="0.3">
      <c r="A1191">
        <v>2017</v>
      </c>
      <c r="B1191" t="s">
        <v>121</v>
      </c>
      <c r="C1191">
        <v>50</v>
      </c>
      <c r="D1191">
        <v>231</v>
      </c>
    </row>
    <row r="1192" spans="1:4" x14ac:dyDescent="0.3">
      <c r="A1192">
        <v>2017</v>
      </c>
      <c r="B1192" t="s">
        <v>121</v>
      </c>
      <c r="C1192">
        <v>55</v>
      </c>
      <c r="D1192">
        <v>292</v>
      </c>
    </row>
    <row r="1193" spans="1:4" x14ac:dyDescent="0.3">
      <c r="A1193">
        <v>2017</v>
      </c>
      <c r="B1193" t="s">
        <v>121</v>
      </c>
      <c r="C1193">
        <v>60</v>
      </c>
      <c r="D1193">
        <v>366</v>
      </c>
    </row>
    <row r="1194" spans="1:4" x14ac:dyDescent="0.3">
      <c r="A1194">
        <v>2017</v>
      </c>
      <c r="B1194" t="s">
        <v>121</v>
      </c>
      <c r="C1194">
        <v>65</v>
      </c>
      <c r="D1194">
        <v>353</v>
      </c>
    </row>
    <row r="1195" spans="1:4" x14ac:dyDescent="0.3">
      <c r="A1195">
        <v>2017</v>
      </c>
      <c r="B1195" t="s">
        <v>121</v>
      </c>
      <c r="C1195">
        <v>70</v>
      </c>
      <c r="D1195">
        <v>409</v>
      </c>
    </row>
    <row r="1196" spans="1:4" x14ac:dyDescent="0.3">
      <c r="A1196">
        <v>2017</v>
      </c>
      <c r="B1196" t="s">
        <v>121</v>
      </c>
      <c r="C1196">
        <v>75</v>
      </c>
      <c r="D1196">
        <v>438</v>
      </c>
    </row>
    <row r="1197" spans="1:4" x14ac:dyDescent="0.3">
      <c r="A1197">
        <v>2017</v>
      </c>
      <c r="B1197" t="s">
        <v>121</v>
      </c>
      <c r="C1197">
        <v>80</v>
      </c>
      <c r="D1197">
        <v>478</v>
      </c>
    </row>
    <row r="1198" spans="1:4" x14ac:dyDescent="0.3">
      <c r="A1198">
        <v>2017</v>
      </c>
      <c r="B1198" t="s">
        <v>121</v>
      </c>
      <c r="C1198">
        <v>85</v>
      </c>
      <c r="D1198">
        <v>1145</v>
      </c>
    </row>
    <row r="1199" spans="1:4" x14ac:dyDescent="0.3">
      <c r="A1199">
        <v>2018</v>
      </c>
      <c r="B1199" t="s">
        <v>121</v>
      </c>
      <c r="C1199">
        <v>0</v>
      </c>
      <c r="D1199">
        <v>164</v>
      </c>
    </row>
    <row r="1200" spans="1:4" x14ac:dyDescent="0.3">
      <c r="A1200">
        <v>2018</v>
      </c>
      <c r="B1200" t="s">
        <v>121</v>
      </c>
      <c r="C1200">
        <v>1</v>
      </c>
      <c r="D1200">
        <v>31</v>
      </c>
    </row>
    <row r="1201" spans="1:4" x14ac:dyDescent="0.3">
      <c r="A1201">
        <v>2018</v>
      </c>
      <c r="B1201" t="s">
        <v>121</v>
      </c>
      <c r="C1201">
        <v>5</v>
      </c>
      <c r="D1201">
        <v>20</v>
      </c>
    </row>
    <row r="1202" spans="1:4" x14ac:dyDescent="0.3">
      <c r="A1202">
        <v>2018</v>
      </c>
      <c r="B1202" t="s">
        <v>121</v>
      </c>
      <c r="C1202">
        <v>10</v>
      </c>
      <c r="D1202">
        <v>27</v>
      </c>
    </row>
    <row r="1203" spans="1:4" x14ac:dyDescent="0.3">
      <c r="A1203">
        <v>2018</v>
      </c>
      <c r="B1203" t="s">
        <v>121</v>
      </c>
      <c r="C1203">
        <v>15</v>
      </c>
      <c r="D1203">
        <v>43</v>
      </c>
    </row>
    <row r="1204" spans="1:4" x14ac:dyDescent="0.3">
      <c r="A1204">
        <v>2018</v>
      </c>
      <c r="B1204" t="s">
        <v>121</v>
      </c>
      <c r="C1204">
        <v>20</v>
      </c>
      <c r="D1204">
        <v>52</v>
      </c>
    </row>
    <row r="1205" spans="1:4" x14ac:dyDescent="0.3">
      <c r="A1205">
        <v>2018</v>
      </c>
      <c r="B1205" t="s">
        <v>121</v>
      </c>
      <c r="C1205">
        <v>25</v>
      </c>
      <c r="D1205">
        <v>56</v>
      </c>
    </row>
    <row r="1206" spans="1:4" x14ac:dyDescent="0.3">
      <c r="A1206">
        <v>2018</v>
      </c>
      <c r="B1206" t="s">
        <v>121</v>
      </c>
      <c r="C1206">
        <v>30</v>
      </c>
      <c r="D1206">
        <v>71</v>
      </c>
    </row>
    <row r="1207" spans="1:4" x14ac:dyDescent="0.3">
      <c r="A1207">
        <v>2018</v>
      </c>
      <c r="B1207" t="s">
        <v>121</v>
      </c>
      <c r="C1207">
        <v>35</v>
      </c>
      <c r="D1207">
        <v>86</v>
      </c>
    </row>
    <row r="1208" spans="1:4" x14ac:dyDescent="0.3">
      <c r="A1208">
        <v>2018</v>
      </c>
      <c r="B1208" t="s">
        <v>121</v>
      </c>
      <c r="C1208">
        <v>40</v>
      </c>
      <c r="D1208">
        <v>121</v>
      </c>
    </row>
    <row r="1209" spans="1:4" x14ac:dyDescent="0.3">
      <c r="A1209">
        <v>2018</v>
      </c>
      <c r="B1209" t="s">
        <v>121</v>
      </c>
      <c r="C1209">
        <v>45</v>
      </c>
      <c r="D1209">
        <v>161</v>
      </c>
    </row>
    <row r="1210" spans="1:4" x14ac:dyDescent="0.3">
      <c r="A1210">
        <v>2018</v>
      </c>
      <c r="B1210" t="s">
        <v>121</v>
      </c>
      <c r="C1210">
        <v>50</v>
      </c>
      <c r="D1210">
        <v>219</v>
      </c>
    </row>
    <row r="1211" spans="1:4" x14ac:dyDescent="0.3">
      <c r="A1211">
        <v>2018</v>
      </c>
      <c r="B1211" t="s">
        <v>121</v>
      </c>
      <c r="C1211">
        <v>55</v>
      </c>
      <c r="D1211">
        <v>294</v>
      </c>
    </row>
    <row r="1212" spans="1:4" x14ac:dyDescent="0.3">
      <c r="A1212">
        <v>2018</v>
      </c>
      <c r="B1212" t="s">
        <v>121</v>
      </c>
      <c r="C1212">
        <v>60</v>
      </c>
      <c r="D1212">
        <v>355</v>
      </c>
    </row>
    <row r="1213" spans="1:4" x14ac:dyDescent="0.3">
      <c r="A1213">
        <v>2018</v>
      </c>
      <c r="B1213" t="s">
        <v>121</v>
      </c>
      <c r="C1213">
        <v>65</v>
      </c>
      <c r="D1213">
        <v>415</v>
      </c>
    </row>
    <row r="1214" spans="1:4" x14ac:dyDescent="0.3">
      <c r="A1214">
        <v>2018</v>
      </c>
      <c r="B1214" t="s">
        <v>121</v>
      </c>
      <c r="C1214">
        <v>70</v>
      </c>
      <c r="D1214">
        <v>384</v>
      </c>
    </row>
    <row r="1215" spans="1:4" x14ac:dyDescent="0.3">
      <c r="A1215">
        <v>2018</v>
      </c>
      <c r="B1215" t="s">
        <v>121</v>
      </c>
      <c r="C1215">
        <v>75</v>
      </c>
      <c r="D1215">
        <v>426</v>
      </c>
    </row>
    <row r="1216" spans="1:4" x14ac:dyDescent="0.3">
      <c r="A1216">
        <v>2018</v>
      </c>
      <c r="B1216" t="s">
        <v>121</v>
      </c>
      <c r="C1216">
        <v>80</v>
      </c>
      <c r="D1216">
        <v>534</v>
      </c>
    </row>
    <row r="1217" spans="1:4" x14ac:dyDescent="0.3">
      <c r="A1217">
        <v>2018</v>
      </c>
      <c r="B1217" t="s">
        <v>121</v>
      </c>
      <c r="C1217">
        <v>85</v>
      </c>
      <c r="D1217">
        <v>1180</v>
      </c>
    </row>
    <row r="1218" spans="1:4" x14ac:dyDescent="0.3">
      <c r="A1218">
        <v>2019</v>
      </c>
      <c r="B1218" t="s">
        <v>121</v>
      </c>
      <c r="C1218">
        <v>0</v>
      </c>
      <c r="D1218">
        <v>171.45358090185701</v>
      </c>
    </row>
    <row r="1219" spans="1:4" x14ac:dyDescent="0.3">
      <c r="A1219">
        <v>2019</v>
      </c>
      <c r="B1219" t="s">
        <v>121</v>
      </c>
      <c r="C1219">
        <v>1</v>
      </c>
      <c r="D1219">
        <v>29</v>
      </c>
    </row>
    <row r="1220" spans="1:4" x14ac:dyDescent="0.3">
      <c r="A1220">
        <v>2019</v>
      </c>
      <c r="B1220" t="s">
        <v>121</v>
      </c>
      <c r="C1220">
        <v>5</v>
      </c>
      <c r="D1220">
        <v>22</v>
      </c>
    </row>
    <row r="1221" spans="1:4" x14ac:dyDescent="0.3">
      <c r="A1221">
        <v>2019</v>
      </c>
      <c r="B1221" t="s">
        <v>121</v>
      </c>
      <c r="C1221">
        <v>10</v>
      </c>
      <c r="D1221">
        <v>22</v>
      </c>
    </row>
    <row r="1222" spans="1:4" x14ac:dyDescent="0.3">
      <c r="A1222">
        <v>2019</v>
      </c>
      <c r="B1222" t="s">
        <v>121</v>
      </c>
      <c r="C1222">
        <v>15</v>
      </c>
      <c r="D1222">
        <v>50</v>
      </c>
    </row>
    <row r="1223" spans="1:4" x14ac:dyDescent="0.3">
      <c r="A1223">
        <v>2019</v>
      </c>
      <c r="B1223" t="s">
        <v>121</v>
      </c>
      <c r="C1223">
        <v>20</v>
      </c>
      <c r="D1223">
        <v>48</v>
      </c>
    </row>
    <row r="1224" spans="1:4" x14ac:dyDescent="0.3">
      <c r="A1224">
        <v>2019</v>
      </c>
      <c r="B1224" t="s">
        <v>121</v>
      </c>
      <c r="C1224">
        <v>25</v>
      </c>
      <c r="D1224">
        <v>72</v>
      </c>
    </row>
    <row r="1225" spans="1:4" x14ac:dyDescent="0.3">
      <c r="A1225">
        <v>2019</v>
      </c>
      <c r="B1225" t="s">
        <v>121</v>
      </c>
      <c r="C1225">
        <v>30</v>
      </c>
      <c r="D1225">
        <v>72</v>
      </c>
    </row>
    <row r="1226" spans="1:4" x14ac:dyDescent="0.3">
      <c r="A1226">
        <v>2019</v>
      </c>
      <c r="B1226" t="s">
        <v>121</v>
      </c>
      <c r="C1226">
        <v>35</v>
      </c>
      <c r="D1226">
        <v>97</v>
      </c>
    </row>
    <row r="1227" spans="1:4" x14ac:dyDescent="0.3">
      <c r="A1227">
        <v>2019</v>
      </c>
      <c r="B1227" t="s">
        <v>121</v>
      </c>
      <c r="C1227">
        <v>40</v>
      </c>
      <c r="D1227">
        <v>130</v>
      </c>
    </row>
    <row r="1228" spans="1:4" x14ac:dyDescent="0.3">
      <c r="A1228">
        <v>2019</v>
      </c>
      <c r="B1228" t="s">
        <v>121</v>
      </c>
      <c r="C1228">
        <v>45</v>
      </c>
      <c r="D1228">
        <v>150</v>
      </c>
    </row>
    <row r="1229" spans="1:4" x14ac:dyDescent="0.3">
      <c r="A1229">
        <v>2019</v>
      </c>
      <c r="B1229" t="s">
        <v>121</v>
      </c>
      <c r="C1229">
        <v>50</v>
      </c>
      <c r="D1229">
        <v>248</v>
      </c>
    </row>
    <row r="1230" spans="1:4" x14ac:dyDescent="0.3">
      <c r="A1230">
        <v>2019</v>
      </c>
      <c r="B1230" t="s">
        <v>121</v>
      </c>
      <c r="C1230">
        <v>55</v>
      </c>
      <c r="D1230">
        <v>276</v>
      </c>
    </row>
    <row r="1231" spans="1:4" x14ac:dyDescent="0.3">
      <c r="A1231">
        <v>2019</v>
      </c>
      <c r="B1231" t="s">
        <v>121</v>
      </c>
      <c r="C1231">
        <v>60</v>
      </c>
      <c r="D1231">
        <v>355</v>
      </c>
    </row>
    <row r="1232" spans="1:4" x14ac:dyDescent="0.3">
      <c r="A1232">
        <v>2019</v>
      </c>
      <c r="B1232" t="s">
        <v>121</v>
      </c>
      <c r="C1232">
        <v>65</v>
      </c>
      <c r="D1232">
        <v>384</v>
      </c>
    </row>
    <row r="1233" spans="1:4" x14ac:dyDescent="0.3">
      <c r="A1233">
        <v>2019</v>
      </c>
      <c r="B1233" t="s">
        <v>121</v>
      </c>
      <c r="C1233">
        <v>70</v>
      </c>
      <c r="D1233">
        <v>432</v>
      </c>
    </row>
    <row r="1234" spans="1:4" x14ac:dyDescent="0.3">
      <c r="A1234">
        <v>2019</v>
      </c>
      <c r="B1234" t="s">
        <v>121</v>
      </c>
      <c r="C1234">
        <v>75</v>
      </c>
      <c r="D1234">
        <v>455</v>
      </c>
    </row>
    <row r="1235" spans="1:4" x14ac:dyDescent="0.3">
      <c r="A1235">
        <v>2019</v>
      </c>
      <c r="B1235" t="s">
        <v>121</v>
      </c>
      <c r="C1235">
        <v>80</v>
      </c>
      <c r="D1235">
        <v>529</v>
      </c>
    </row>
    <row r="1236" spans="1:4" x14ac:dyDescent="0.3">
      <c r="A1236">
        <v>2019</v>
      </c>
      <c r="B1236" t="s">
        <v>121</v>
      </c>
      <c r="C1236">
        <v>85</v>
      </c>
      <c r="D1236">
        <v>1266</v>
      </c>
    </row>
    <row r="1237" spans="1:4" x14ac:dyDescent="0.3">
      <c r="A1237">
        <v>2020</v>
      </c>
      <c r="B1237" t="s">
        <v>121</v>
      </c>
      <c r="C1237">
        <v>0</v>
      </c>
      <c r="D1237">
        <v>148.89156626505999</v>
      </c>
    </row>
    <row r="1238" spans="1:4" x14ac:dyDescent="0.3">
      <c r="A1238">
        <v>2020</v>
      </c>
      <c r="B1238" t="s">
        <v>121</v>
      </c>
      <c r="C1238">
        <v>1</v>
      </c>
      <c r="D1238">
        <v>26</v>
      </c>
    </row>
    <row r="1239" spans="1:4" x14ac:dyDescent="0.3">
      <c r="A1239">
        <v>2020</v>
      </c>
      <c r="B1239" t="s">
        <v>121</v>
      </c>
      <c r="C1239">
        <v>5</v>
      </c>
      <c r="D1239">
        <v>13</v>
      </c>
    </row>
    <row r="1240" spans="1:4" x14ac:dyDescent="0.3">
      <c r="A1240">
        <v>2020</v>
      </c>
      <c r="B1240" t="s">
        <v>121</v>
      </c>
      <c r="C1240">
        <v>10</v>
      </c>
      <c r="D1240">
        <v>26</v>
      </c>
    </row>
    <row r="1241" spans="1:4" x14ac:dyDescent="0.3">
      <c r="A1241">
        <v>2020</v>
      </c>
      <c r="B1241" t="s">
        <v>121</v>
      </c>
      <c r="C1241">
        <v>15</v>
      </c>
      <c r="D1241">
        <v>37</v>
      </c>
    </row>
    <row r="1242" spans="1:4" x14ac:dyDescent="0.3">
      <c r="A1242">
        <v>2020</v>
      </c>
      <c r="B1242" t="s">
        <v>121</v>
      </c>
      <c r="C1242">
        <v>20</v>
      </c>
      <c r="D1242">
        <v>55</v>
      </c>
    </row>
    <row r="1243" spans="1:4" x14ac:dyDescent="0.3">
      <c r="A1243">
        <v>2020</v>
      </c>
      <c r="B1243" t="s">
        <v>121</v>
      </c>
      <c r="C1243">
        <v>25</v>
      </c>
      <c r="D1243">
        <v>69</v>
      </c>
    </row>
    <row r="1244" spans="1:4" x14ac:dyDescent="0.3">
      <c r="A1244">
        <v>2020</v>
      </c>
      <c r="B1244" t="s">
        <v>121</v>
      </c>
      <c r="C1244">
        <v>30</v>
      </c>
      <c r="D1244">
        <v>80</v>
      </c>
    </row>
    <row r="1245" spans="1:4" x14ac:dyDescent="0.3">
      <c r="A1245">
        <v>2020</v>
      </c>
      <c r="B1245" t="s">
        <v>121</v>
      </c>
      <c r="C1245">
        <v>35</v>
      </c>
      <c r="D1245">
        <v>103</v>
      </c>
    </row>
    <row r="1246" spans="1:4" x14ac:dyDescent="0.3">
      <c r="A1246">
        <v>2020</v>
      </c>
      <c r="B1246" t="s">
        <v>121</v>
      </c>
      <c r="C1246">
        <v>40</v>
      </c>
      <c r="D1246">
        <v>141</v>
      </c>
    </row>
    <row r="1247" spans="1:4" x14ac:dyDescent="0.3">
      <c r="A1247">
        <v>2020</v>
      </c>
      <c r="B1247" t="s">
        <v>121</v>
      </c>
      <c r="C1247">
        <v>45</v>
      </c>
      <c r="D1247">
        <v>265</v>
      </c>
    </row>
    <row r="1248" spans="1:4" x14ac:dyDescent="0.3">
      <c r="A1248">
        <v>2020</v>
      </c>
      <c r="B1248" t="s">
        <v>121</v>
      </c>
      <c r="C1248">
        <v>50</v>
      </c>
      <c r="D1248">
        <v>322</v>
      </c>
    </row>
    <row r="1249" spans="1:4" x14ac:dyDescent="0.3">
      <c r="A1249">
        <v>2020</v>
      </c>
      <c r="B1249" t="s">
        <v>121</v>
      </c>
      <c r="C1249">
        <v>55</v>
      </c>
      <c r="D1249">
        <v>440</v>
      </c>
    </row>
    <row r="1250" spans="1:4" x14ac:dyDescent="0.3">
      <c r="A1250">
        <v>2020</v>
      </c>
      <c r="B1250" t="s">
        <v>121</v>
      </c>
      <c r="C1250">
        <v>60</v>
      </c>
      <c r="D1250">
        <v>579</v>
      </c>
    </row>
    <row r="1251" spans="1:4" x14ac:dyDescent="0.3">
      <c r="A1251">
        <v>2020</v>
      </c>
      <c r="B1251" t="s">
        <v>121</v>
      </c>
      <c r="C1251">
        <v>65</v>
      </c>
      <c r="D1251">
        <v>605</v>
      </c>
    </row>
    <row r="1252" spans="1:4" x14ac:dyDescent="0.3">
      <c r="A1252">
        <v>2020</v>
      </c>
      <c r="B1252" t="s">
        <v>121</v>
      </c>
      <c r="C1252">
        <v>70</v>
      </c>
      <c r="D1252">
        <v>634</v>
      </c>
    </row>
    <row r="1253" spans="1:4" x14ac:dyDescent="0.3">
      <c r="A1253">
        <v>2020</v>
      </c>
      <c r="B1253" t="s">
        <v>121</v>
      </c>
      <c r="C1253">
        <v>75</v>
      </c>
      <c r="D1253">
        <v>623</v>
      </c>
    </row>
    <row r="1254" spans="1:4" x14ac:dyDescent="0.3">
      <c r="A1254">
        <v>2020</v>
      </c>
      <c r="B1254" t="s">
        <v>121</v>
      </c>
      <c r="C1254">
        <v>80</v>
      </c>
      <c r="D1254">
        <v>664</v>
      </c>
    </row>
    <row r="1255" spans="1:4" x14ac:dyDescent="0.3">
      <c r="A1255">
        <v>2020</v>
      </c>
      <c r="B1255" t="s">
        <v>121</v>
      </c>
      <c r="C1255">
        <v>85</v>
      </c>
      <c r="D1255">
        <v>1438</v>
      </c>
    </row>
    <row r="1256" spans="1:4" x14ac:dyDescent="0.3">
      <c r="A1256">
        <v>2021</v>
      </c>
      <c r="B1256" t="s">
        <v>121</v>
      </c>
      <c r="C1256">
        <v>0</v>
      </c>
      <c r="D1256">
        <v>151.19824614748899</v>
      </c>
    </row>
    <row r="1257" spans="1:4" x14ac:dyDescent="0.3">
      <c r="A1257">
        <v>2021</v>
      </c>
      <c r="B1257" t="s">
        <v>121</v>
      </c>
      <c r="C1257">
        <v>1</v>
      </c>
      <c r="D1257">
        <v>33.004340290129498</v>
      </c>
    </row>
    <row r="1258" spans="1:4" x14ac:dyDescent="0.3">
      <c r="A1258">
        <v>2021</v>
      </c>
      <c r="B1258" t="s">
        <v>121</v>
      </c>
      <c r="C1258">
        <v>5</v>
      </c>
      <c r="D1258">
        <v>22.002893526752999</v>
      </c>
    </row>
    <row r="1259" spans="1:4" x14ac:dyDescent="0.3">
      <c r="A1259">
        <v>2021</v>
      </c>
      <c r="B1259" t="s">
        <v>121</v>
      </c>
      <c r="C1259">
        <v>10</v>
      </c>
      <c r="D1259">
        <v>23.003025050696301</v>
      </c>
    </row>
    <row r="1260" spans="1:4" x14ac:dyDescent="0.3">
      <c r="A1260">
        <v>2021</v>
      </c>
      <c r="B1260" t="s">
        <v>121</v>
      </c>
      <c r="C1260">
        <v>15</v>
      </c>
      <c r="D1260">
        <v>43.005655529562702</v>
      </c>
    </row>
    <row r="1261" spans="1:4" x14ac:dyDescent="0.3">
      <c r="A1261">
        <v>2021</v>
      </c>
      <c r="B1261" t="s">
        <v>121</v>
      </c>
      <c r="C1261">
        <v>20</v>
      </c>
      <c r="D1261">
        <v>67.008812104202306</v>
      </c>
    </row>
    <row r="1262" spans="1:4" x14ac:dyDescent="0.3">
      <c r="A1262">
        <v>2021</v>
      </c>
      <c r="B1262" t="s">
        <v>121</v>
      </c>
      <c r="C1262">
        <v>25</v>
      </c>
      <c r="D1262">
        <v>101.01328391827499</v>
      </c>
    </row>
    <row r="1263" spans="1:4" x14ac:dyDescent="0.3">
      <c r="A1263">
        <v>2021</v>
      </c>
      <c r="B1263" t="s">
        <v>121</v>
      </c>
      <c r="C1263">
        <v>30</v>
      </c>
      <c r="D1263">
        <v>107.01407306193499</v>
      </c>
    </row>
    <row r="1264" spans="1:4" x14ac:dyDescent="0.3">
      <c r="A1264">
        <v>2021</v>
      </c>
      <c r="B1264" t="s">
        <v>121</v>
      </c>
      <c r="C1264">
        <v>35</v>
      </c>
      <c r="D1264">
        <v>164.02156992670399</v>
      </c>
    </row>
    <row r="1265" spans="1:4" x14ac:dyDescent="0.3">
      <c r="A1265">
        <v>2021</v>
      </c>
      <c r="B1265" t="s">
        <v>121</v>
      </c>
      <c r="C1265">
        <v>40</v>
      </c>
      <c r="D1265">
        <v>225.02959288724699</v>
      </c>
    </row>
    <row r="1266" spans="1:4" x14ac:dyDescent="0.3">
      <c r="A1266">
        <v>2021</v>
      </c>
      <c r="B1266" t="s">
        <v>121</v>
      </c>
      <c r="C1266">
        <v>45</v>
      </c>
      <c r="D1266">
        <v>344.04524423650201</v>
      </c>
    </row>
    <row r="1267" spans="1:4" x14ac:dyDescent="0.3">
      <c r="A1267">
        <v>2021</v>
      </c>
      <c r="B1267" t="s">
        <v>121</v>
      </c>
      <c r="C1267">
        <v>50</v>
      </c>
      <c r="D1267">
        <v>433.05694986745698</v>
      </c>
    </row>
    <row r="1268" spans="1:4" x14ac:dyDescent="0.3">
      <c r="A1268">
        <v>2021</v>
      </c>
      <c r="B1268" t="s">
        <v>121</v>
      </c>
      <c r="C1268">
        <v>55</v>
      </c>
      <c r="D1268">
        <v>588.07733607867101</v>
      </c>
    </row>
    <row r="1269" spans="1:4" x14ac:dyDescent="0.3">
      <c r="A1269">
        <v>2021</v>
      </c>
      <c r="B1269" t="s">
        <v>121</v>
      </c>
      <c r="C1269">
        <v>60</v>
      </c>
      <c r="D1269">
        <v>700.09206676032295</v>
      </c>
    </row>
    <row r="1270" spans="1:4" x14ac:dyDescent="0.3">
      <c r="A1270">
        <v>2021</v>
      </c>
      <c r="B1270" t="s">
        <v>121</v>
      </c>
      <c r="C1270">
        <v>65</v>
      </c>
      <c r="D1270">
        <v>741.09745924199899</v>
      </c>
    </row>
    <row r="1271" spans="1:4" x14ac:dyDescent="0.3">
      <c r="A1271">
        <v>2021</v>
      </c>
      <c r="B1271" t="s">
        <v>121</v>
      </c>
      <c r="C1271">
        <v>70</v>
      </c>
      <c r="D1271">
        <v>764.100484292695</v>
      </c>
    </row>
    <row r="1272" spans="1:4" x14ac:dyDescent="0.3">
      <c r="A1272">
        <v>2021</v>
      </c>
      <c r="B1272" t="s">
        <v>121</v>
      </c>
      <c r="C1272">
        <v>75</v>
      </c>
      <c r="D1272">
        <v>756.09943210114898</v>
      </c>
    </row>
    <row r="1273" spans="1:4" x14ac:dyDescent="0.3">
      <c r="A1273">
        <v>2021</v>
      </c>
      <c r="B1273" t="s">
        <v>121</v>
      </c>
      <c r="C1273">
        <v>80</v>
      </c>
      <c r="D1273">
        <v>791.10403543916505</v>
      </c>
    </row>
    <row r="1274" spans="1:4" x14ac:dyDescent="0.3">
      <c r="A1274">
        <v>2021</v>
      </c>
      <c r="B1274" t="s">
        <v>121</v>
      </c>
      <c r="C1274">
        <v>85</v>
      </c>
      <c r="D1274">
        <v>1550.2038621121401</v>
      </c>
    </row>
    <row r="1275" spans="1:4" x14ac:dyDescent="0.3">
      <c r="A1275">
        <v>2022</v>
      </c>
      <c r="B1275" t="s">
        <v>121</v>
      </c>
      <c r="C1275">
        <v>0</v>
      </c>
      <c r="D1275">
        <v>161.955320786817</v>
      </c>
    </row>
    <row r="1276" spans="1:4" x14ac:dyDescent="0.3">
      <c r="A1276">
        <v>2022</v>
      </c>
      <c r="B1276" t="s">
        <v>121</v>
      </c>
      <c r="C1276">
        <v>1</v>
      </c>
      <c r="D1276">
        <v>42.007098278080697</v>
      </c>
    </row>
    <row r="1277" spans="1:4" x14ac:dyDescent="0.3">
      <c r="A1277">
        <v>2022</v>
      </c>
      <c r="B1277" t="s">
        <v>121</v>
      </c>
      <c r="C1277">
        <v>5</v>
      </c>
      <c r="D1277">
        <v>18.003042119177401</v>
      </c>
    </row>
    <row r="1278" spans="1:4" x14ac:dyDescent="0.3">
      <c r="A1278">
        <v>2022</v>
      </c>
      <c r="B1278" t="s">
        <v>121</v>
      </c>
      <c r="C1278">
        <v>10</v>
      </c>
      <c r="D1278">
        <v>28.004732185387098</v>
      </c>
    </row>
    <row r="1279" spans="1:4" x14ac:dyDescent="0.3">
      <c r="A1279">
        <v>2022</v>
      </c>
      <c r="B1279" t="s">
        <v>121</v>
      </c>
      <c r="C1279">
        <v>15</v>
      </c>
      <c r="D1279">
        <v>50.008450331048401</v>
      </c>
    </row>
    <row r="1280" spans="1:4" x14ac:dyDescent="0.3">
      <c r="A1280">
        <v>2022</v>
      </c>
      <c r="B1280" t="s">
        <v>121</v>
      </c>
      <c r="C1280">
        <v>20</v>
      </c>
      <c r="D1280">
        <v>48.0081123178065</v>
      </c>
    </row>
    <row r="1281" spans="1:4" x14ac:dyDescent="0.3">
      <c r="A1281">
        <v>2022</v>
      </c>
      <c r="B1281" t="s">
        <v>121</v>
      </c>
      <c r="C1281">
        <v>25</v>
      </c>
      <c r="D1281">
        <v>68.011492450225802</v>
      </c>
    </row>
    <row r="1282" spans="1:4" x14ac:dyDescent="0.3">
      <c r="A1282">
        <v>2022</v>
      </c>
      <c r="B1282" t="s">
        <v>121</v>
      </c>
      <c r="C1282">
        <v>30</v>
      </c>
      <c r="D1282">
        <v>74.012506489951704</v>
      </c>
    </row>
    <row r="1283" spans="1:4" x14ac:dyDescent="0.3">
      <c r="A1283">
        <v>2022</v>
      </c>
      <c r="B1283" t="s">
        <v>121</v>
      </c>
      <c r="C1283">
        <v>35</v>
      </c>
      <c r="D1283">
        <v>101.01706966871799</v>
      </c>
    </row>
    <row r="1284" spans="1:4" x14ac:dyDescent="0.3">
      <c r="A1284">
        <v>2022</v>
      </c>
      <c r="B1284" t="s">
        <v>121</v>
      </c>
      <c r="C1284">
        <v>40</v>
      </c>
      <c r="D1284">
        <v>146.024674966661</v>
      </c>
    </row>
    <row r="1285" spans="1:4" x14ac:dyDescent="0.3">
      <c r="A1285">
        <v>2022</v>
      </c>
      <c r="B1285" t="s">
        <v>121</v>
      </c>
      <c r="C1285">
        <v>45</v>
      </c>
      <c r="D1285">
        <v>185.031266224879</v>
      </c>
    </row>
    <row r="1286" spans="1:4" x14ac:dyDescent="0.3">
      <c r="A1286">
        <v>2022</v>
      </c>
      <c r="B1286" t="s">
        <v>121</v>
      </c>
      <c r="C1286">
        <v>50</v>
      </c>
      <c r="D1286">
        <v>272.04596980090298</v>
      </c>
    </row>
    <row r="1287" spans="1:4" x14ac:dyDescent="0.3">
      <c r="A1287">
        <v>2022</v>
      </c>
      <c r="B1287" t="s">
        <v>121</v>
      </c>
      <c r="C1287">
        <v>55</v>
      </c>
      <c r="D1287">
        <v>373.063039469621</v>
      </c>
    </row>
    <row r="1288" spans="1:4" x14ac:dyDescent="0.3">
      <c r="A1288">
        <v>2022</v>
      </c>
      <c r="B1288" t="s">
        <v>121</v>
      </c>
      <c r="C1288">
        <v>60</v>
      </c>
      <c r="D1288">
        <v>425.07182781391202</v>
      </c>
    </row>
    <row r="1289" spans="1:4" x14ac:dyDescent="0.3">
      <c r="A1289">
        <v>2022</v>
      </c>
      <c r="B1289" t="s">
        <v>121</v>
      </c>
      <c r="C1289">
        <v>65</v>
      </c>
      <c r="D1289">
        <v>552.09329165477402</v>
      </c>
    </row>
    <row r="1290" spans="1:4" x14ac:dyDescent="0.3">
      <c r="A1290">
        <v>2022</v>
      </c>
      <c r="B1290" t="s">
        <v>121</v>
      </c>
      <c r="C1290">
        <v>70</v>
      </c>
      <c r="D1290">
        <v>586.09903787988696</v>
      </c>
    </row>
    <row r="1291" spans="1:4" x14ac:dyDescent="0.3">
      <c r="A1291">
        <v>2022</v>
      </c>
      <c r="B1291" t="s">
        <v>121</v>
      </c>
      <c r="C1291">
        <v>75</v>
      </c>
      <c r="D1291">
        <v>597.10089695271802</v>
      </c>
    </row>
    <row r="1292" spans="1:4" x14ac:dyDescent="0.3">
      <c r="A1292">
        <v>2022</v>
      </c>
      <c r="B1292" t="s">
        <v>121</v>
      </c>
      <c r="C1292">
        <v>80</v>
      </c>
      <c r="D1292">
        <v>663.11205138970195</v>
      </c>
    </row>
    <row r="1293" spans="1:4" x14ac:dyDescent="0.3">
      <c r="A1293">
        <v>2022</v>
      </c>
      <c r="B1293" t="s">
        <v>121</v>
      </c>
      <c r="C1293">
        <v>85</v>
      </c>
      <c r="D1293">
        <v>1527.25807311022</v>
      </c>
    </row>
    <row r="1294" spans="1:4" x14ac:dyDescent="0.3">
      <c r="A1294">
        <v>2023</v>
      </c>
      <c r="B1294" t="s">
        <v>121</v>
      </c>
      <c r="C1294">
        <v>0</v>
      </c>
      <c r="D1294">
        <v>144.48538820622099</v>
      </c>
    </row>
    <row r="1295" spans="1:4" x14ac:dyDescent="0.3">
      <c r="A1295">
        <v>2023</v>
      </c>
      <c r="B1295" t="s">
        <v>121</v>
      </c>
      <c r="C1295">
        <v>1</v>
      </c>
      <c r="D1295">
        <v>27.009655903415101</v>
      </c>
    </row>
    <row r="1296" spans="1:4" x14ac:dyDescent="0.3">
      <c r="A1296">
        <v>2023</v>
      </c>
      <c r="B1296" t="s">
        <v>121</v>
      </c>
      <c r="C1296">
        <v>5</v>
      </c>
      <c r="D1296">
        <v>17.006079642890999</v>
      </c>
    </row>
    <row r="1297" spans="1:4" x14ac:dyDescent="0.3">
      <c r="A1297">
        <v>2023</v>
      </c>
      <c r="B1297" t="s">
        <v>121</v>
      </c>
      <c r="C1297">
        <v>10</v>
      </c>
      <c r="D1297">
        <v>20.007152521048202</v>
      </c>
    </row>
    <row r="1298" spans="1:4" x14ac:dyDescent="0.3">
      <c r="A1298">
        <v>2023</v>
      </c>
      <c r="B1298" t="s">
        <v>121</v>
      </c>
      <c r="C1298">
        <v>15</v>
      </c>
      <c r="D1298">
        <v>33.011801659729599</v>
      </c>
    </row>
    <row r="1299" spans="1:4" x14ac:dyDescent="0.3">
      <c r="A1299">
        <v>2023</v>
      </c>
      <c r="B1299" t="s">
        <v>121</v>
      </c>
      <c r="C1299">
        <v>20</v>
      </c>
      <c r="D1299">
        <v>40.014305042096503</v>
      </c>
    </row>
    <row r="1300" spans="1:4" x14ac:dyDescent="0.3">
      <c r="A1300">
        <v>2023</v>
      </c>
      <c r="B1300" t="s">
        <v>121</v>
      </c>
      <c r="C1300">
        <v>25</v>
      </c>
      <c r="D1300">
        <v>63.022530441301903</v>
      </c>
    </row>
    <row r="1301" spans="1:4" x14ac:dyDescent="0.3">
      <c r="A1301">
        <v>2023</v>
      </c>
      <c r="B1301" t="s">
        <v>121</v>
      </c>
      <c r="C1301">
        <v>30</v>
      </c>
      <c r="D1301">
        <v>92.032901596821901</v>
      </c>
    </row>
    <row r="1302" spans="1:4" x14ac:dyDescent="0.3">
      <c r="A1302">
        <v>2023</v>
      </c>
      <c r="B1302" t="s">
        <v>121</v>
      </c>
      <c r="C1302">
        <v>35</v>
      </c>
      <c r="D1302">
        <v>92.032901596821901</v>
      </c>
    </row>
    <row r="1303" spans="1:4" x14ac:dyDescent="0.3">
      <c r="A1303">
        <v>2023</v>
      </c>
      <c r="B1303" t="s">
        <v>121</v>
      </c>
      <c r="C1303">
        <v>40</v>
      </c>
      <c r="D1303">
        <v>124.044345630499</v>
      </c>
    </row>
    <row r="1304" spans="1:4" x14ac:dyDescent="0.3">
      <c r="A1304">
        <v>2023</v>
      </c>
      <c r="B1304" t="s">
        <v>121</v>
      </c>
      <c r="C1304">
        <v>45</v>
      </c>
      <c r="D1304">
        <v>195.06973708021999</v>
      </c>
    </row>
    <row r="1305" spans="1:4" x14ac:dyDescent="0.3">
      <c r="A1305">
        <v>2023</v>
      </c>
      <c r="B1305" t="s">
        <v>121</v>
      </c>
      <c r="C1305">
        <v>50</v>
      </c>
      <c r="D1305">
        <v>293.104784433357</v>
      </c>
    </row>
    <row r="1306" spans="1:4" x14ac:dyDescent="0.3">
      <c r="A1306">
        <v>2023</v>
      </c>
      <c r="B1306" t="s">
        <v>121</v>
      </c>
      <c r="C1306">
        <v>55</v>
      </c>
      <c r="D1306">
        <v>340.12159285782002</v>
      </c>
    </row>
    <row r="1307" spans="1:4" x14ac:dyDescent="0.3">
      <c r="A1307">
        <v>2023</v>
      </c>
      <c r="B1307" t="s">
        <v>121</v>
      </c>
      <c r="C1307">
        <v>60</v>
      </c>
      <c r="D1307">
        <v>418.14948768990803</v>
      </c>
    </row>
    <row r="1308" spans="1:4" x14ac:dyDescent="0.3">
      <c r="A1308">
        <v>2023</v>
      </c>
      <c r="B1308" t="s">
        <v>121</v>
      </c>
      <c r="C1308">
        <v>65</v>
      </c>
      <c r="D1308">
        <v>520.185965547254</v>
      </c>
    </row>
    <row r="1309" spans="1:4" x14ac:dyDescent="0.3">
      <c r="A1309">
        <v>2023</v>
      </c>
      <c r="B1309" t="s">
        <v>121</v>
      </c>
      <c r="C1309">
        <v>70</v>
      </c>
      <c r="D1309">
        <v>525.18775367751596</v>
      </c>
    </row>
    <row r="1310" spans="1:4" x14ac:dyDescent="0.3">
      <c r="A1310">
        <v>2023</v>
      </c>
      <c r="B1310" t="s">
        <v>121</v>
      </c>
      <c r="C1310">
        <v>75</v>
      </c>
      <c r="D1310">
        <v>613.21922477012799</v>
      </c>
    </row>
    <row r="1311" spans="1:4" x14ac:dyDescent="0.3">
      <c r="A1311">
        <v>2023</v>
      </c>
      <c r="B1311" t="s">
        <v>121</v>
      </c>
      <c r="C1311">
        <v>80</v>
      </c>
      <c r="D1311">
        <v>609.217794265919</v>
      </c>
    </row>
    <row r="1312" spans="1:4" x14ac:dyDescent="0.3">
      <c r="A1312">
        <v>2023</v>
      </c>
      <c r="B1312" t="s">
        <v>121</v>
      </c>
      <c r="C1312">
        <v>85</v>
      </c>
      <c r="D1312">
        <v>1427.5103323767901</v>
      </c>
    </row>
    <row r="1313" spans="1:4" x14ac:dyDescent="0.3">
      <c r="A1313">
        <v>2024</v>
      </c>
      <c r="B1313" t="s">
        <v>121</v>
      </c>
      <c r="C1313">
        <v>0</v>
      </c>
      <c r="D1313">
        <v>97</v>
      </c>
    </row>
    <row r="1314" spans="1:4" x14ac:dyDescent="0.3">
      <c r="A1314">
        <v>2024</v>
      </c>
      <c r="B1314" t="s">
        <v>121</v>
      </c>
      <c r="C1314">
        <v>1</v>
      </c>
      <c r="D1314">
        <v>29</v>
      </c>
    </row>
    <row r="1315" spans="1:4" x14ac:dyDescent="0.3">
      <c r="A1315">
        <v>2024</v>
      </c>
      <c r="B1315" t="s">
        <v>121</v>
      </c>
      <c r="C1315">
        <v>5</v>
      </c>
      <c r="D1315">
        <v>22</v>
      </c>
    </row>
    <row r="1316" spans="1:4" x14ac:dyDescent="0.3">
      <c r="A1316">
        <v>2024</v>
      </c>
      <c r="B1316" t="s">
        <v>121</v>
      </c>
      <c r="C1316">
        <v>10</v>
      </c>
      <c r="D1316">
        <v>24</v>
      </c>
    </row>
    <row r="1317" spans="1:4" x14ac:dyDescent="0.3">
      <c r="A1317">
        <v>2024</v>
      </c>
      <c r="B1317" t="s">
        <v>121</v>
      </c>
      <c r="C1317">
        <v>15</v>
      </c>
      <c r="D1317">
        <v>53</v>
      </c>
    </row>
    <row r="1318" spans="1:4" x14ac:dyDescent="0.3">
      <c r="A1318">
        <v>2024</v>
      </c>
      <c r="B1318" t="s">
        <v>121</v>
      </c>
      <c r="C1318">
        <v>20</v>
      </c>
      <c r="D1318">
        <v>60</v>
      </c>
    </row>
    <row r="1319" spans="1:4" x14ac:dyDescent="0.3">
      <c r="A1319">
        <v>2024</v>
      </c>
      <c r="B1319" t="s">
        <v>121</v>
      </c>
      <c r="C1319">
        <v>25</v>
      </c>
      <c r="D1319">
        <v>72</v>
      </c>
    </row>
    <row r="1320" spans="1:4" x14ac:dyDescent="0.3">
      <c r="A1320">
        <v>2024</v>
      </c>
      <c r="B1320" t="s">
        <v>121</v>
      </c>
      <c r="C1320">
        <v>30</v>
      </c>
      <c r="D1320">
        <v>86</v>
      </c>
    </row>
    <row r="1321" spans="1:4" x14ac:dyDescent="0.3">
      <c r="A1321">
        <v>2024</v>
      </c>
      <c r="B1321" t="s">
        <v>121</v>
      </c>
      <c r="C1321">
        <v>35</v>
      </c>
      <c r="D1321">
        <v>101</v>
      </c>
    </row>
    <row r="1322" spans="1:4" x14ac:dyDescent="0.3">
      <c r="A1322">
        <v>2024</v>
      </c>
      <c r="B1322" t="s">
        <v>121</v>
      </c>
      <c r="C1322">
        <v>40</v>
      </c>
      <c r="D1322">
        <v>155</v>
      </c>
    </row>
    <row r="1323" spans="1:4" x14ac:dyDescent="0.3">
      <c r="A1323">
        <v>2024</v>
      </c>
      <c r="B1323" t="s">
        <v>121</v>
      </c>
      <c r="C1323">
        <v>45</v>
      </c>
      <c r="D1323">
        <v>188</v>
      </c>
    </row>
    <row r="1324" spans="1:4" x14ac:dyDescent="0.3">
      <c r="A1324">
        <v>2024</v>
      </c>
      <c r="B1324" t="s">
        <v>121</v>
      </c>
      <c r="C1324">
        <v>50</v>
      </c>
      <c r="D1324">
        <v>277</v>
      </c>
    </row>
    <row r="1325" spans="1:4" x14ac:dyDescent="0.3">
      <c r="A1325">
        <v>2024</v>
      </c>
      <c r="B1325" t="s">
        <v>121</v>
      </c>
      <c r="C1325">
        <v>55</v>
      </c>
      <c r="D1325">
        <v>366</v>
      </c>
    </row>
    <row r="1326" spans="1:4" x14ac:dyDescent="0.3">
      <c r="A1326">
        <v>2024</v>
      </c>
      <c r="B1326" t="s">
        <v>121</v>
      </c>
      <c r="C1326">
        <v>60</v>
      </c>
      <c r="D1326">
        <v>462</v>
      </c>
    </row>
    <row r="1327" spans="1:4" x14ac:dyDescent="0.3">
      <c r="A1327">
        <v>2024</v>
      </c>
      <c r="B1327" t="s">
        <v>121</v>
      </c>
      <c r="C1327">
        <v>65</v>
      </c>
      <c r="D1327">
        <v>542</v>
      </c>
    </row>
    <row r="1328" spans="1:4" x14ac:dyDescent="0.3">
      <c r="A1328">
        <v>2024</v>
      </c>
      <c r="B1328" t="s">
        <v>121</v>
      </c>
      <c r="C1328">
        <v>70</v>
      </c>
      <c r="D1328">
        <v>553</v>
      </c>
    </row>
    <row r="1329" spans="1:4" x14ac:dyDescent="0.3">
      <c r="A1329">
        <v>2024</v>
      </c>
      <c r="B1329" t="s">
        <v>121</v>
      </c>
      <c r="C1329">
        <v>75</v>
      </c>
      <c r="D1329">
        <v>620</v>
      </c>
    </row>
    <row r="1330" spans="1:4" x14ac:dyDescent="0.3">
      <c r="A1330">
        <v>2024</v>
      </c>
      <c r="B1330" t="s">
        <v>121</v>
      </c>
      <c r="C1330">
        <v>80</v>
      </c>
      <c r="D1330">
        <v>621</v>
      </c>
    </row>
    <row r="1331" spans="1:4" x14ac:dyDescent="0.3">
      <c r="A1331">
        <v>2024</v>
      </c>
      <c r="B1331" t="s">
        <v>121</v>
      </c>
      <c r="C1331">
        <v>85</v>
      </c>
      <c r="D1331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24</vt:i4>
      </vt:variant>
    </vt:vector>
  </HeadingPairs>
  <TitlesOfParts>
    <vt:vector size="31" baseType="lpstr">
      <vt:lpstr>Introduction</vt:lpstr>
      <vt:lpstr>Coefficients</vt:lpstr>
      <vt:lpstr>Model LTs</vt:lpstr>
      <vt:lpstr>Decrementos Múltiples</vt:lpstr>
      <vt:lpstr>LT</vt:lpstr>
      <vt:lpstr>Homicidios</vt:lpstr>
      <vt:lpstr>Defunciones generales</vt:lpstr>
      <vt:lpstr>Coeffs_111</vt:lpstr>
      <vt:lpstr>Coeffs_112</vt:lpstr>
      <vt:lpstr>Coeffs_113</vt:lpstr>
      <vt:lpstr>Coeffs_121</vt:lpstr>
      <vt:lpstr>Coeffs_122</vt:lpstr>
      <vt:lpstr>Coeffs_123</vt:lpstr>
      <vt:lpstr>Coeffs_131</vt:lpstr>
      <vt:lpstr>Coeffs_132</vt:lpstr>
      <vt:lpstr>Coeffs_133</vt:lpstr>
      <vt:lpstr>Coeffs_141</vt:lpstr>
      <vt:lpstr>Coeffs_142</vt:lpstr>
      <vt:lpstr>Coeffs_143</vt:lpstr>
      <vt:lpstr>Coeffs_211</vt:lpstr>
      <vt:lpstr>Coeffs_221</vt:lpstr>
      <vt:lpstr>Coeffs_231</vt:lpstr>
      <vt:lpstr>Coeffs_241</vt:lpstr>
      <vt:lpstr>Coeffs_251</vt:lpstr>
      <vt:lpstr>Family</vt:lpstr>
      <vt:lpstr>FamSelect</vt:lpstr>
      <vt:lpstr>Princeton</vt:lpstr>
      <vt:lpstr>Sex</vt:lpstr>
      <vt:lpstr>TypeSelect</vt:lpstr>
      <vt:lpstr>UN</vt:lpstr>
      <vt:lpstr>Variant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01404747</dc:creator>
  <cp:lastModifiedBy>Carlos Espinoza</cp:lastModifiedBy>
  <dcterms:created xsi:type="dcterms:W3CDTF">2012-05-08T12:24:09Z</dcterms:created>
  <dcterms:modified xsi:type="dcterms:W3CDTF">2025-11-25T07:46:45Z</dcterms:modified>
</cp:coreProperties>
</file>